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/>
  <mc:AlternateContent xmlns:mc="http://schemas.openxmlformats.org/markup-compatibility/2006">
    <mc:Choice Requires="x15">
      <x15ac:absPath xmlns:x15ac="http://schemas.microsoft.com/office/spreadsheetml/2010/11/ac" url="/Users/katharinahorn/Documents/vp&amp;s peds derm research year/EB Wound/"/>
    </mc:Choice>
  </mc:AlternateContent>
  <xr:revisionPtr revIDLastSave="182" documentId="13_ncr:1_{E6F54F7B-4DE7-1F4A-BA8A-3BABDD83615E}" xr6:coauthVersionLast="47" xr6:coauthVersionMax="47" xr10:uidLastSave="{5C96CBEC-918C-4A46-BA9B-75984FF08743}"/>
  <bookViews>
    <workbookView xWindow="13180" yWindow="760" windowWidth="23160" windowHeight="16460" activeTab="2" xr2:uid="{643606A4-555A-B84C-89E7-FD4A5FCF56AC}"/>
  </bookViews>
  <sheets>
    <sheet name="Corrected EB wound spreadsheet" sheetId="5" r:id="rId1"/>
    <sheet name="All Microbes" sheetId="7" r:id="rId2"/>
    <sheet name="PA Patients" sheetId="6" r:id="rId3"/>
    <sheet name="OLD spreadsheet" sheetId="1" r:id="rId4"/>
    <sheet name="OLD PA PAtients" sheetId="3" r:id="rId5"/>
    <sheet name="OLD All Microbes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7" l="1"/>
  <c r="D26" i="7"/>
  <c r="E26" i="7"/>
  <c r="F26" i="7"/>
  <c r="G26" i="7"/>
  <c r="H26" i="7"/>
  <c r="I26" i="7"/>
  <c r="J26" i="7"/>
  <c r="K26" i="7"/>
  <c r="L26" i="7"/>
  <c r="M26" i="7"/>
  <c r="N26" i="7"/>
  <c r="D25" i="7"/>
  <c r="E25" i="7"/>
  <c r="F25" i="7"/>
  <c r="G25" i="7"/>
  <c r="H25" i="7"/>
  <c r="I25" i="7"/>
  <c r="J25" i="7"/>
  <c r="K25" i="7"/>
  <c r="L25" i="7"/>
  <c r="M25" i="7"/>
  <c r="N25" i="7"/>
  <c r="C25" i="7"/>
  <c r="B25" i="7"/>
  <c r="B26" i="7"/>
  <c r="D117" i="5"/>
  <c r="C117" i="5"/>
  <c r="B11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tc={BEB26F66-EC34-5440-9332-CD72803E0AAC}</author>
    <author>tc={18EDAFEA-FBE0-2644-A6E7-8004D19FA1EC}</author>
    <author>tc={7B85C27D-BE3C-8B41-B17F-3ABA342D95D1}</author>
  </authors>
  <commentList>
    <comment ref="F83" authorId="0" shapeId="0" xr:uid="{BEB26F66-EC34-5440-9332-CD72803E0A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left shin</t>
      </text>
    </comment>
    <comment ref="E84" authorId="1" shapeId="0" xr:uid="{18EDAFEA-FBE0-2644-A6E7-8004D19FA1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5/3/24</t>
      </text>
    </comment>
    <comment ref="E109" authorId="2" shapeId="0" xr:uid="{7B85C27D-BE3C-8B41-B17F-3ABA342D95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Previously 10/21/23</t>
      </text>
    </comment>
  </commentList>
</comments>
</file>

<file path=xl/sharedStrings.xml><?xml version="1.0" encoding="utf-8"?>
<sst xmlns="http://schemas.openxmlformats.org/spreadsheetml/2006/main" count="2520" uniqueCount="646">
  <si>
    <t>Code</t>
  </si>
  <si>
    <t>Sequencing data?</t>
  </si>
  <si>
    <t>Culture data?</t>
  </si>
  <si>
    <t>Pseudomonas</t>
  </si>
  <si>
    <t>Date of Culture</t>
  </si>
  <si>
    <t>Location</t>
  </si>
  <si>
    <t>Result</t>
  </si>
  <si>
    <t>Sensitivities</t>
  </si>
  <si>
    <t>Gram Stain</t>
  </si>
  <si>
    <t>Clinical Correlates (chronicity, clinical signs of infection, SCC)</t>
  </si>
  <si>
    <t>Sent to…</t>
  </si>
  <si>
    <t>Double checked? If so, any changes?</t>
  </si>
  <si>
    <t>SUB1a</t>
  </si>
  <si>
    <t>Yes</t>
  </si>
  <si>
    <t>L ankle</t>
  </si>
  <si>
    <t>MSSA</t>
  </si>
  <si>
    <t>MSSA (erythromycin, tetracycline resistant; mupirocin not tested)</t>
  </si>
  <si>
    <t xml:space="preserve">No polymorphonuclear leukocytes observed 
Moderate Gram Positive Cocci in pairs Gram Positive Cocci in clusters </t>
  </si>
  <si>
    <t>Plate to Dietrich lab, swab to Wang lab</t>
  </si>
  <si>
    <t>Y</t>
  </si>
  <si>
    <t>SUB1b</t>
  </si>
  <si>
    <t>R knee</t>
  </si>
  <si>
    <t>MSSA (erythromycin, mupirocin resistant)</t>
  </si>
  <si>
    <t xml:space="preserve">
Rare polymorphonuclear leukocytes observed
No organisms seen
</t>
  </si>
  <si>
    <t>Chronic erosion with minimal granulation tissue</t>
  </si>
  <si>
    <t>Plates to Dietrich lab; Swab discarded by Micro lab accidentally. ***</t>
  </si>
  <si>
    <t>SUB1c</t>
  </si>
  <si>
    <t>Right knee</t>
  </si>
  <si>
    <t>MSSA (erythromycin resistant; mupirocin not tested)</t>
  </si>
  <si>
    <t>No polymorphonuclear leukocytes observed
No organisms seen</t>
  </si>
  <si>
    <t>Acute erosion</t>
  </si>
  <si>
    <t>Plates to Dietrich lab; Swab to Wang lab</t>
  </si>
  <si>
    <t>SUB1d</t>
  </si>
  <si>
    <t>Right arm</t>
  </si>
  <si>
    <t>Rare PMNs, no organisms seen</t>
  </si>
  <si>
    <t>Chronic moist erosion</t>
  </si>
  <si>
    <t>SUB1e</t>
  </si>
  <si>
    <t>R shoulder</t>
  </si>
  <si>
    <t>Klebsiella pneumoniae, MSSA, Pseudomonas aeruginosa</t>
  </si>
  <si>
    <t>Klebsiella (ampicillin resistant), MSSA (mupirocin susceptible)</t>
  </si>
  <si>
    <t xml:space="preserve">No polymorphonuclear leukocytes observed; Few Gram Positive Cocci in pairs; Few Gram Positive Cocci in clusters; Few Gram Negative Rods </t>
  </si>
  <si>
    <t>Chronic granulation tissue and moist erosions</t>
  </si>
  <si>
    <t>SUB1f</t>
  </si>
  <si>
    <t>Chest</t>
  </si>
  <si>
    <t>Klebsiella pneumoniae, Pseudomonas aeruginosa, MSSA</t>
  </si>
  <si>
    <t xml:space="preserve">No polymorphonuclear leukocytes observed; Moderate Gram Positive Cocci in pairs; Few Gram Positive Cocci in clusters; Few Gram Negative Rods
</t>
  </si>
  <si>
    <t>Chronic raised granulation tissue with rolled border</t>
  </si>
  <si>
    <t>SUB1g</t>
  </si>
  <si>
    <t>R axilla</t>
  </si>
  <si>
    <t xml:space="preserve">No polymorphonuclear leukocytes observed; Moderate Gram Negative Rods; Few Gram Positive Cocci in pairs in chains; Few Gram Positive Cocci in clusters </t>
  </si>
  <si>
    <t>SUB1h</t>
  </si>
  <si>
    <t>Right shoulder</t>
  </si>
  <si>
    <t>MSSA (mupirocin not tested)</t>
  </si>
  <si>
    <t>No PMNs, Moderate Gram Positive Cocci in clusters, Moderate Gram Positive Cocci in pairs</t>
  </si>
  <si>
    <t>Chronic, not infected</t>
  </si>
  <si>
    <t>Swab and plates were discarded by the lab</t>
  </si>
  <si>
    <t>SUB1i</t>
  </si>
  <si>
    <t>Right buttock</t>
  </si>
  <si>
    <t>MSSA, GBS, Pseudomonas aeruginosa</t>
  </si>
  <si>
    <t>MSSA (mupirocin susceptible), Pseudomonas (aztreonam and piperacillin-tazobactam resistant)</t>
  </si>
  <si>
    <t xml:space="preserve">Rare polymorphonuclear leukocytes observed; Many Gram Negative Rods; Moderate Gram Positive Cocci in clusters; Moderate Gram Positive Cocci in pairs </t>
  </si>
  <si>
    <t>SUB2a</t>
  </si>
  <si>
    <t>left foot</t>
  </si>
  <si>
    <t>Pseudomonas aeruginosa</t>
  </si>
  <si>
    <t>PsA (no sensitivity analysis performed)</t>
  </si>
  <si>
    <t xml:space="preserve">Few polymorphonuclear leukocytes observed; Few Gram Negative Rods; Few Gram Positive Cocci in pairs in chains 
</t>
  </si>
  <si>
    <t>Chronic large islands of open erythematous eroded skin with yellow and brown crusting</t>
  </si>
  <si>
    <t>SUB2b</t>
  </si>
  <si>
    <t>left buttock</t>
  </si>
  <si>
    <t>PsA (Gentamicin intermediate sensitivity)</t>
  </si>
  <si>
    <t xml:space="preserve">
Rare polymorphonuclear leukocytes observed
Few Gram Negative Rods; Few Gram Positive Cocci in pairs in chains</t>
  </si>
  <si>
    <t>(unknown chronicity) large islands of open erythematous eroded skin with yellow and brown crusting</t>
  </si>
  <si>
    <t>SUB2c</t>
  </si>
  <si>
    <t>left shin</t>
  </si>
  <si>
    <t>Serratia marcescens</t>
  </si>
  <si>
    <t>Serratia (ampicillin, ampicillin-sulbactam, aztreonam, cefazolin, ceftazidime, ceftriaxone resistant)</t>
  </si>
  <si>
    <t>Few polymorphonuclear leukocytes observed; Moderate Gram Negative Rods; Few Gram Positive Cocci in pairs in chains</t>
  </si>
  <si>
    <t>SUB2d</t>
  </si>
  <si>
    <t>MSSA (erythromycin resistant, tetracycline intermediate sensitivity, mupirocin not tested)</t>
  </si>
  <si>
    <t xml:space="preserve">
No polymorphonuclear leukocytes observed; No organisms seen</t>
  </si>
  <si>
    <t>Plate to Dietrich lab, no swab sent to Wang lab because it was erroneously discarded by clinical microbiology lab</t>
  </si>
  <si>
    <t>SUB2e</t>
  </si>
  <si>
    <t>left thigh</t>
  </si>
  <si>
    <t>MSSA (erythromycin resistant, mupirocin not tested)</t>
  </si>
  <si>
    <t xml:space="preserve">
No polymorphonuclear leukocytes observed; Few Gram Positive Cocci in clusters</t>
  </si>
  <si>
    <t>discarded</t>
  </si>
  <si>
    <t>SUB2f</t>
  </si>
  <si>
    <t>R medial foot</t>
  </si>
  <si>
    <t>mixed commensal microbiota</t>
  </si>
  <si>
    <t>N/A</t>
  </si>
  <si>
    <t>No polymorphonuclear leukocytes observed; Moderate Gram Negative Rods; Few Gram Positive Cocci in pairs in chains</t>
  </si>
  <si>
    <t>SUB2g</t>
  </si>
  <si>
    <t>SUB2h</t>
  </si>
  <si>
    <t>left forearm</t>
  </si>
  <si>
    <t>MSSA (levofloxacin, mupirocin resistant)</t>
  </si>
  <si>
    <t xml:space="preserve">Few polymorphonuclear leukocytes observed; No organisms seen </t>
  </si>
  <si>
    <t>SUB2i</t>
  </si>
  <si>
    <t>Klebsiella oxytoca</t>
  </si>
  <si>
    <t>Klebsiella (ampicillin, ampicillin-sulbactam, cefazolin resistant)</t>
  </si>
  <si>
    <t>No polymorphonuclear leukocytes observed Moderate Gram Positive Cocci in pairs in chains Many Gram Negative Rods</t>
  </si>
  <si>
    <t>SUB2j</t>
  </si>
  <si>
    <t>Escherichia Coli, Acinetobacter baumannii complex</t>
  </si>
  <si>
    <t>E Coli (ampicillin, gentamicin, tetracycline, bactrim resistant, ampicillin-sulbactam intermediate susceptibility), A. baumannii (cefepime, gentamicin resistant, amikacin intermediate susceptibility)</t>
  </si>
  <si>
    <t>No polymorphonuclear leukocytes observed
Few Gram Positive Rods; Few Gram Positive Cocci in pairs in chains; Many Gram Negative Rods</t>
  </si>
  <si>
    <t>SUB2k</t>
  </si>
  <si>
    <t>R chest</t>
  </si>
  <si>
    <t>MSSA, Serratia marcescens</t>
  </si>
  <si>
    <t>MSSA (erythromycin, mupirocin resistant), Serratia (ampicillin, ampicillin-sulbactam, aztreonam, cefazolin, ceftazidime, ceftriaxone resistant)</t>
  </si>
  <si>
    <t>No polymorphonuclear leukocytes observed; Few Gram Positive Cocci in clusters</t>
  </si>
  <si>
    <t>SUB2l</t>
  </si>
  <si>
    <t>L thigh</t>
  </si>
  <si>
    <t>Acinetobacter baumannii complex , MSSA</t>
  </si>
  <si>
    <t xml:space="preserve">No polymorphonuclear leukocytes observed; Few Gram Negative Rods; Few Gram Positive Cocci in clusters </t>
  </si>
  <si>
    <t>Area of induration and erythema; acute-on-chronic (overall area red and ulcerations, however new thickness).</t>
  </si>
  <si>
    <t>SUB2m</t>
  </si>
  <si>
    <t xml:space="preserve">MSSA (erythromycin resistant, mupirocin not tested), A baumannii (cefepime and gentamicin intermediate susceptibility) </t>
  </si>
  <si>
    <t xml:space="preserve">No polymorphonuclear leukocytes observed; Few Gram Positive Cocci in pairs </t>
  </si>
  <si>
    <t>New (3 wk) erosion, clinically improving, no purulence, clean.</t>
  </si>
  <si>
    <t>SUB2n</t>
  </si>
  <si>
    <t>L groin</t>
  </si>
  <si>
    <t>Subacute (4-6 wks) lesion, clinically stable, +purulence</t>
  </si>
  <si>
    <t>SUB2o</t>
  </si>
  <si>
    <t xml:space="preserve">No polymorphonuclear leukocytes observed; Few Gram Positive Cocci in clusters </t>
  </si>
  <si>
    <t>Plate to Dietrich lab; holding swabs for now since no response from wang lab so far</t>
  </si>
  <si>
    <t>SUB3a</t>
  </si>
  <si>
    <t>R earlobe</t>
  </si>
  <si>
    <t>No polymorphonuclear leukocytes observed; No organisms seen</t>
  </si>
  <si>
    <t>SUB3b</t>
  </si>
  <si>
    <t>right eye</t>
  </si>
  <si>
    <t>No polymorphonuclear leukocytes observed; Few Gram Positive Cocci in pairs</t>
  </si>
  <si>
    <t>SUB3c</t>
  </si>
  <si>
    <t>earlobe</t>
  </si>
  <si>
    <t>MSSA (erythromycin intermediate sensitivity, mupirocin not tested)</t>
  </si>
  <si>
    <t>SUB3d</t>
  </si>
  <si>
    <t>SUB3e</t>
  </si>
  <si>
    <t>right knee</t>
  </si>
  <si>
    <t>SUB3f</t>
  </si>
  <si>
    <t>R earlobe (pre-auricular area)</t>
  </si>
  <si>
    <t>MSSA (erythromycin resistant, mupirocin resistant)</t>
  </si>
  <si>
    <t>New crust (&lt;6 wks), but this is a recurring area. No frank ulceration, no malodor, but tender to touch.</t>
  </si>
  <si>
    <t>SUB3g</t>
  </si>
  <si>
    <t>forehead</t>
  </si>
  <si>
    <t>No sensitivity analysis</t>
  </si>
  <si>
    <t>Plate to Dietrich lab, no swabs sent because they were not held by clinical micro lab</t>
  </si>
  <si>
    <t>SUB3h</t>
  </si>
  <si>
    <t>back</t>
  </si>
  <si>
    <t>SUB3i</t>
  </si>
  <si>
    <t>Serratia marcescens, Enterococcus faecalis</t>
  </si>
  <si>
    <t>Serratia (ampicillin, ampicillin-sulbactam, aztreonam, cefazolin, ceftazidime, ceftriaxone, piperacillin-tazobactam resistant), enterococcus (gentamicin synergy resistant)</t>
  </si>
  <si>
    <t>Few polymorphonuclear leukocytes observed; Many Gram Negative Rods</t>
  </si>
  <si>
    <t>Chronic ulcer with white fibrinous film</t>
  </si>
  <si>
    <t>Plates to Dietrich lab, Swab to Wang lab</t>
  </si>
  <si>
    <t>SUB4a</t>
  </si>
  <si>
    <t>L upper chest</t>
  </si>
  <si>
    <t>MRSA</t>
  </si>
  <si>
    <t>MRSA (oxacillin resistant, mupirocin not tested)</t>
  </si>
  <si>
    <t>SUB4b</t>
  </si>
  <si>
    <t>R upper chest</t>
  </si>
  <si>
    <t xml:space="preserve">
Few polymorphonuclear leukocytes observed; Few Gram Positive Cocci in clusters</t>
  </si>
  <si>
    <t>SUB4c</t>
  </si>
  <si>
    <t>R lateral neck</t>
  </si>
  <si>
    <t>MRSA (oxacillin resistant, mupirocin susceptible)</t>
  </si>
  <si>
    <t>Chronic erosion with area of re-epithelialization</t>
  </si>
  <si>
    <t>SUB4d</t>
  </si>
  <si>
    <t>Upper chest</t>
  </si>
  <si>
    <t xml:space="preserve">Many polymorphonuclear leukocytes observed; Few Gram Positive Cocci in pairs in clusters </t>
  </si>
  <si>
    <t>Chronic superficial erosion within larger pink patch of re-epithelialization </t>
  </si>
  <si>
    <t>Neither swabs nor plates were saved.</t>
  </si>
  <si>
    <t>SUB4e</t>
  </si>
  <si>
    <t>Back</t>
  </si>
  <si>
    <t xml:space="preserve">Few polymorphonuclear leukocytes observed; No organisms seen
</t>
  </si>
  <si>
    <t>Chronic erosion with mild drainage</t>
  </si>
  <si>
    <t>SUB4f</t>
  </si>
  <si>
    <t xml:space="preserve">No polymorphonuclear leukocytes observed; No organisms seen </t>
  </si>
  <si>
    <t>Chronic erosion</t>
  </si>
  <si>
    <t>SUB4g</t>
  </si>
  <si>
    <t>Neck</t>
  </si>
  <si>
    <t>MRSA (oxacillin resistant, mupirocin resistant)</t>
  </si>
  <si>
    <t>Chronic; did not appear infected</t>
  </si>
  <si>
    <t>SUB5a</t>
  </si>
  <si>
    <t>R elbow</t>
  </si>
  <si>
    <t>No polymorphonuclear leukocytes observed;No organisms seen</t>
  </si>
  <si>
    <t>SUB5b</t>
  </si>
  <si>
    <t>left ear</t>
  </si>
  <si>
    <t>MSSA (clindamycin, erythromycin resistant, mupirocin susceptible)</t>
  </si>
  <si>
    <t>Not specified</t>
  </si>
  <si>
    <t>SUB5c</t>
  </si>
  <si>
    <t>No polymorphonuclear leukocytes observed No organisms seen</t>
  </si>
  <si>
    <t>Chronic (&gt;6 wks)</t>
  </si>
  <si>
    <t>SUB5d</t>
  </si>
  <si>
    <t>No growth</t>
  </si>
  <si>
    <t xml:space="preserve">Rare polymorphonuclear leukocytes observed No organisms seen </t>
  </si>
  <si>
    <t>New, pink patch with superficial crusted erosion on R knee</t>
  </si>
  <si>
    <t>SUB5e</t>
  </si>
  <si>
    <t>Right elbow</t>
  </si>
  <si>
    <t>No polymorphonuclear leukocytes observedNo organisms seen</t>
  </si>
  <si>
    <t>Acute pink patch with heme crust</t>
  </si>
  <si>
    <t>Plates discarded; Swab to Wang lab</t>
  </si>
  <si>
    <t>SUB5f</t>
  </si>
  <si>
    <t xml:space="preserve">
No polymorphonuclear leukocytes observed
No organisms seen</t>
  </si>
  <si>
    <t>Chronic?, Re-epithelialized pink erosion lower mid back with few milia within sites.</t>
  </si>
  <si>
    <t>Swab to Wang lab, plates discarded due to no growth</t>
  </si>
  <si>
    <t>SUB5g</t>
  </si>
  <si>
    <t>Left elbow</t>
  </si>
  <si>
    <t xml:space="preserve">No polymorphonuclear leukocytes observed No organisms seen </t>
  </si>
  <si>
    <t>Acute?, Pink patches with heme crust on elbow.</t>
  </si>
  <si>
    <t>SUB6a</t>
  </si>
  <si>
    <t>L arm</t>
  </si>
  <si>
    <t>Klebsiella oxytoca, pseudomonas aeruginosa, enterococcus faecalis</t>
  </si>
  <si>
    <t>Klebsiella (ampicillin, cefazolin resistant), Pseudomonas (cefepime, ceftazidime, piperacillin-tazobactam resistant)</t>
  </si>
  <si>
    <t xml:space="preserve">No polymorphonuclear leukocytes observed Many Gram Negative Rods Moderate Gram Positive Cocci in clusters Few Yeast Few Gram Positive Cocci in pairs in chains </t>
  </si>
  <si>
    <t>(Chronicity: &lt;6 weeks; at site of recent PICC line) linear erythematous patches with hyperkeratotic scale and crust</t>
  </si>
  <si>
    <t>SUB6b</t>
  </si>
  <si>
    <t>L plantar foot</t>
  </si>
  <si>
    <t>New, tense bulla with erythematous (inflamed) rim</t>
  </si>
  <si>
    <t>SUB7a</t>
  </si>
  <si>
    <t>Pseudomonas aeruginosa, MSSA</t>
  </si>
  <si>
    <t>No polymorphonuclear leukocytes observed Moderate Gram Negative Rods</t>
  </si>
  <si>
    <t>Chronic non-healing, but no signs of infection</t>
  </si>
  <si>
    <t>SUB7b</t>
  </si>
  <si>
    <t>Abdomen</t>
  </si>
  <si>
    <t>Pluralibacter gergoviae, MSSA</t>
  </si>
  <si>
    <t>Pluralibacter gergoviae (cefoxitin resistant), MSSA (erythromycin resistant, mupirocin not tested)</t>
  </si>
  <si>
    <t>non-healing, but no signs of infection</t>
  </si>
  <si>
    <t>SUB7c</t>
  </si>
  <si>
    <t>Right leg</t>
  </si>
  <si>
    <t xml:space="preserve">No polymorphonuclear leukocytes observed Few Gram Negative Rods Few Gram Positive Cocci in clusters </t>
  </si>
  <si>
    <t>SUB7d</t>
  </si>
  <si>
    <t>left leg</t>
  </si>
  <si>
    <t>PsA (aztreonam intermediate sensitivity)</t>
  </si>
  <si>
    <t>No polymorphonuclear leukocytes observed; Moderate Gram Negative Rods</t>
  </si>
  <si>
    <t>SUB8a</t>
  </si>
  <si>
    <t>L ear - drainage, external auditory canal</t>
  </si>
  <si>
    <t>MSSA (levofloxacin resistant, mupirocin susceptible)</t>
  </si>
  <si>
    <t xml:space="preserve">
No polymorphonuclear leukocytes observedFew Gram Positive Cocci in clusters</t>
  </si>
  <si>
    <t>SUB8b</t>
  </si>
  <si>
    <t>R medial ankle</t>
  </si>
  <si>
    <t>Proteus mirabilis</t>
  </si>
  <si>
    <t>Proteus mirabilis (ampicillin, aztreonam, gentamicin, levofloxacin, tetracycline, and trimethoprim-sulfamethoxazole- resistant; cefazolin and tobramycin-intermediate susceptibility)</t>
  </si>
  <si>
    <t>No polymorphonuclear leukocytes observed; Few Gram Positive Cocci in pairs in chains</t>
  </si>
  <si>
    <t>Subacute superfiical erosion with surrounding white fibrinous tissue</t>
  </si>
  <si>
    <t>SUB8c</t>
  </si>
  <si>
    <t>MSSA (levofloxacin resistant, mupirocin not tested)</t>
  </si>
  <si>
    <t>Acute re-epithelializing clean-based erosion</t>
  </si>
  <si>
    <t>SUB8d</t>
  </si>
  <si>
    <t>Right ear</t>
  </si>
  <si>
    <t>Mixed commensal microbiota</t>
  </si>
  <si>
    <t>No PMNs, No organisms seen</t>
  </si>
  <si>
    <t>Swab to Wang lab, plates discarded due to commensal bacteria only</t>
  </si>
  <si>
    <t>SUB9a</t>
  </si>
  <si>
    <t>R finger (D5)</t>
  </si>
  <si>
    <t>New (&lt;6 wks) yellowish-heme crust dorsal 5th finger; no malodor or tenderness.</t>
  </si>
  <si>
    <t>SUB10a</t>
  </si>
  <si>
    <t>MSSA (erythromycin, levofloxacin resistant, mupirocin not tested)</t>
  </si>
  <si>
    <t xml:space="preserve">
No polymorphonuclear leukocytes observed Few Gram Positive Cocci in pairs Gram Positive Cocci in clusters</t>
  </si>
  <si>
    <t>New (3-day) round erosion on mid-back; no malodor, no tenderness.</t>
  </si>
  <si>
    <t>SUB10b</t>
  </si>
  <si>
    <t>L knee</t>
  </si>
  <si>
    <t xml:space="preserve">
Few polymorphonuclear leukocytes observedNo organisms seen</t>
  </si>
  <si>
    <t>New ulcer with serous drainage</t>
  </si>
  <si>
    <t>Plates to Dietrich lab, swab to Wang lab</t>
  </si>
  <si>
    <t>SUB10c</t>
  </si>
  <si>
    <t>No polymorphonuclear leukocytes observed Few Gram Positive Cocci in pairs in clusters</t>
  </si>
  <si>
    <t>New clean-based erosion with area of re-epithelialization</t>
  </si>
  <si>
    <t>SUB10d</t>
  </si>
  <si>
    <t>MSSA (mupirocin-resistant, erythromycin-resistant, and levofloxacin-resistant)</t>
  </si>
  <si>
    <t>No PMNs or organisms seen.</t>
  </si>
  <si>
    <t>Acute erosion with moist exudate, but no signs of infection</t>
  </si>
  <si>
    <t>SUB10e</t>
  </si>
  <si>
    <t>MSSA (erythromycin resistant, levofloxacin resistant, mupirocin resistant)</t>
  </si>
  <si>
    <t>Acute; yellow crusted</t>
  </si>
  <si>
    <t>SUB10f</t>
  </si>
  <si>
    <t>R Heel</t>
  </si>
  <si>
    <t>MSSA (erythromycin resistant, levofloxacin intermediate sensitivity, mupirocin not tested)</t>
  </si>
  <si>
    <t>Few PMNs, few GP cocci in pairs in chains</t>
  </si>
  <si>
    <t>Acute; scant purulent material</t>
  </si>
  <si>
    <t>SUB10g</t>
  </si>
  <si>
    <t>MSSA (Mupirocin resistant)</t>
  </si>
  <si>
    <t>Acute vs Chronic not sure; purulent</t>
  </si>
  <si>
    <t>Plates to Dietrich lab; Swab discarded by lab</t>
  </si>
  <si>
    <t>SUB10h</t>
  </si>
  <si>
    <t>Left shoulder</t>
  </si>
  <si>
    <t>MSSA (Clindamycin resistant, erythromycin resistant, mupirocin not tested)</t>
  </si>
  <si>
    <t>Chronic (with continued trauma from backpack); purulent</t>
  </si>
  <si>
    <t>SUB11a</t>
  </si>
  <si>
    <t>Earlobe</t>
  </si>
  <si>
    <t xml:space="preserve">
No polymorphonuclear leukocytes observedNo organisms seen
</t>
  </si>
  <si>
    <t>New (multiple days) honey colored crust of right antihelix; no malodor or tenderness.</t>
  </si>
  <si>
    <t>SUB11b</t>
  </si>
  <si>
    <t>Nose</t>
  </si>
  <si>
    <t xml:space="preserve">No polymorphonuclear leukocytes observed Few Gram Positive Cocci in pairs Gram Positive Cocci in clusters </t>
  </si>
  <si>
    <t>New (multiple days) heme crusted plaque at right nasal ala; no malodor or tenderness.</t>
  </si>
  <si>
    <t>SUB11c</t>
  </si>
  <si>
    <t>Right Buttock</t>
  </si>
  <si>
    <t>MSSA, GAS</t>
  </si>
  <si>
    <t>No polymorphonuclear leukocytes observed Few Gram Positive Cocci in clusters</t>
  </si>
  <si>
    <t>Acute; purulent</t>
  </si>
  <si>
    <t>SUB11d</t>
  </si>
  <si>
    <t>Left posterior knee</t>
  </si>
  <si>
    <t>MSSA (erythromycin resistant, levofloxacin intermediate susceptibility, mupirocin not tested)</t>
  </si>
  <si>
    <t>No PMNs, few Gram Positive Cocci in clusters</t>
  </si>
  <si>
    <t>SUB11e</t>
  </si>
  <si>
    <t>Right thigh</t>
  </si>
  <si>
    <t>MSSA (erythromycin, levofloxacin resistant, mupirocin resistant)</t>
  </si>
  <si>
    <t>SUB11f</t>
  </si>
  <si>
    <t>Left knee</t>
  </si>
  <si>
    <t>MSSA (erythromycin, levofloxacin, mupirocin resistant)</t>
  </si>
  <si>
    <t>Rare polymorphonuclear leukocytes observed No organisms seen</t>
  </si>
  <si>
    <t>Acute, NOT infected</t>
  </si>
  <si>
    <t>SUB11g</t>
  </si>
  <si>
    <t>Few polymorphonuclear leukocytes observed No organisms seen</t>
  </si>
  <si>
    <t>Acute, exudative but not purulent</t>
  </si>
  <si>
    <t>SUB12a</t>
  </si>
  <si>
    <t>MRSA (clindamycin, erythromycin, levofloxacin, oxacillin, tetracycline, bactrim, mupirocin resistant)</t>
  </si>
  <si>
    <t>New erosion of right knee; no malodor, no tenderness, no surrounding erythema</t>
  </si>
  <si>
    <t>SUB12b</t>
  </si>
  <si>
    <t>Posterior neck</t>
  </si>
  <si>
    <t>MRSA (levofloxacin, oxacillin, tetracycline, bactrim, mupirocin resistant)</t>
  </si>
  <si>
    <t>Rare polymorphonuclear leukocytes observed Few Gram Positive Cocci in clusters</t>
  </si>
  <si>
    <t>Chronic superficial, heme-crusted erosion</t>
  </si>
  <si>
    <t>SUB12c</t>
  </si>
  <si>
    <t>neck</t>
  </si>
  <si>
    <t>GAS</t>
  </si>
  <si>
    <t>Acute grouped vesicles with hemorrhagic crust</t>
  </si>
  <si>
    <t>SUB12d</t>
  </si>
  <si>
    <t>leg</t>
  </si>
  <si>
    <t>Escherichia Coli</t>
  </si>
  <si>
    <t>No PMNs, Moderate GNRs</t>
  </si>
  <si>
    <t>Acute bulla</t>
  </si>
  <si>
    <t>SUB13a</t>
  </si>
  <si>
    <t>R foot</t>
  </si>
  <si>
    <t>MSSA (mupirocin susceptible)</t>
  </si>
  <si>
    <t xml:space="preserve">
No polymorphonuclear leukocytes observed No organisms seen</t>
  </si>
  <si>
    <t>New, crusted erosion of posterior ankle</t>
  </si>
  <si>
    <t>SUB13b</t>
  </si>
  <si>
    <t>L medial buttocks</t>
  </si>
  <si>
    <t>No polymorphonuclear leukocytes observedModerate Gram Negative Rods</t>
  </si>
  <si>
    <t>New, perianal superficial erosion with pink re-epithelialized patches</t>
  </si>
  <si>
    <t>1) Pathogenic Bacterial growth (Pseudomonas, MRSA, MSSA) -&gt; Send both Plates and Swabs</t>
  </si>
  <si>
    <t>2) No abnormal bacterial growth, but either normal skin flora or mixed commensal bacteria noted -&gt; Discard Plates, but send Swabs</t>
  </si>
  <si>
    <t>3) No abnormal bacterial growth and no organisms seen -&gt; Discard both Plates and Swabs</t>
  </si>
  <si>
    <t>SUB13c</t>
  </si>
  <si>
    <t>MSSA (mupirocin resistant)</t>
  </si>
  <si>
    <t>No PMNs, Few Gram+ Cocci in clusters</t>
  </si>
  <si>
    <t>Acute heme bulla</t>
  </si>
  <si>
    <t>SUB13d</t>
  </si>
  <si>
    <t>finger</t>
  </si>
  <si>
    <t>Acute bulla with inflamed rim</t>
  </si>
  <si>
    <t>SUB14a</t>
  </si>
  <si>
    <t>No polymorphonuclear leukocytes observed Moderate Gram Positive Cocci in clusters</t>
  </si>
  <si>
    <t>New, crusted erythematous plaque on L shin</t>
  </si>
  <si>
    <t>Y - changed location</t>
  </si>
  <si>
    <t>SUB14b</t>
  </si>
  <si>
    <t>Finger</t>
  </si>
  <si>
    <t>Moderate PMNs, no organisms seen</t>
  </si>
  <si>
    <t>Acute tense bulla with yellow-green fluid (lake of pus)</t>
  </si>
  <si>
    <t>Y - changed date</t>
  </si>
  <si>
    <t>SUB14c</t>
  </si>
  <si>
    <t>No PMNs, moderate GP cocci in clusters</t>
  </si>
  <si>
    <t>Acute, Purulent</t>
  </si>
  <si>
    <t>Plates to Dietrich lab; Swab was discarded by lab (?)</t>
  </si>
  <si>
    <t>SUB15a</t>
  </si>
  <si>
    <t>annular cluster of heme-crusted erosions on L anterior knee</t>
  </si>
  <si>
    <t>*Modified to send swabs even if no organisms</t>
  </si>
  <si>
    <t>SUB15b</t>
  </si>
  <si>
    <t>L shoulder</t>
  </si>
  <si>
    <t>No PMNs, few Gram Positive Cocci in pairs in chains</t>
  </si>
  <si>
    <t>Acute; not infected</t>
  </si>
  <si>
    <t>SUB16a</t>
  </si>
  <si>
    <t>Mid lower back</t>
  </si>
  <si>
    <t>Pseudomonas aeruginosa, MRSA</t>
  </si>
  <si>
    <t>MRSA (erythromycin, levofloxacin, oxacillin resistant, mupirocin susceptible)</t>
  </si>
  <si>
    <t>Rare polymorphonuclear leukocytes observed, Many Gram Negative Rods, Few Gram Positive Cocci in clusters</t>
  </si>
  <si>
    <t>Acute (&lt;3 weeks) clean-based erosion with no signs of infection (surveillance, no hx of antiseptic use)</t>
  </si>
  <si>
    <t>SUB16b</t>
  </si>
  <si>
    <t>Mid lower abdomen</t>
  </si>
  <si>
    <t>Rare polymorphonuclear leukocytes observed, Few Gram Positive Cocci in clusters</t>
  </si>
  <si>
    <t>Acute erosion with purulent exudate</t>
  </si>
  <si>
    <t>SUB16c</t>
  </si>
  <si>
    <t>MRSA (erythromycin-resistant, levofloxacin-resistant, and oxacillin-resistant, mupirocin susceptible)</t>
  </si>
  <si>
    <t>Acute ulceration with purulence</t>
  </si>
  <si>
    <t>SUB16d</t>
  </si>
  <si>
    <t>R upper back</t>
  </si>
  <si>
    <t>No PMNs, Few Gram positive cocci in clusters</t>
  </si>
  <si>
    <t>Chronic raised pink moist plaque</t>
  </si>
  <si>
    <t>SUB16e</t>
  </si>
  <si>
    <t>Left lower abdomen</t>
  </si>
  <si>
    <t>Chronic exudative macerated ulceration</t>
  </si>
  <si>
    <t>SUB16f</t>
  </si>
  <si>
    <t>MRSA, GAS, Pseudomonas aeruginosa</t>
  </si>
  <si>
    <t>MRSA (erythromycin, levofloxacin, oxacillin resistant, mupirocin not tested)</t>
  </si>
  <si>
    <t>No PMNs, Moderate GN Rods, Few GP Cocci in pairs in chains</t>
  </si>
  <si>
    <t>SUB16g</t>
  </si>
  <si>
    <t>Perineum</t>
  </si>
  <si>
    <t>SUB16h</t>
  </si>
  <si>
    <t>MRSA, Pseudomonas aeruginosa</t>
  </si>
  <si>
    <t>MRSA (erythromycin, levofloxacin, oxacillin, mupirocin resistant), PsA (gentamicin intermediate susceptibility)</t>
  </si>
  <si>
    <t>No PMNs, Moderate Gram Positive Rods</t>
  </si>
  <si>
    <t>Chronic, Diffuse open and heme-crusted erosions with scattered flaccid bullae</t>
  </si>
  <si>
    <t>SUB17a</t>
  </si>
  <si>
    <t>SUB17b</t>
  </si>
  <si>
    <t>MSSA (tetracycline, mupirocin resistant)</t>
  </si>
  <si>
    <t>Acute, but recurrent, erosion</t>
  </si>
  <si>
    <t>SUB17c</t>
  </si>
  <si>
    <t>Upper back</t>
  </si>
  <si>
    <t>Chronic erosion with focal area of mild purulent exudate</t>
  </si>
  <si>
    <t>SUB17d</t>
  </si>
  <si>
    <t>Left hand</t>
  </si>
  <si>
    <t>Acute patch with white-yellow exudate</t>
  </si>
  <si>
    <t>SUB17e</t>
  </si>
  <si>
    <t>Left arm</t>
  </si>
  <si>
    <t>Proteus mirabilis (tetracycline resistant)</t>
  </si>
  <si>
    <t>Acute pink re-epithelizalizing patch with overlying heme crust and hyperkeratosis</t>
  </si>
  <si>
    <t>SUB17f</t>
  </si>
  <si>
    <t>R Leg</t>
  </si>
  <si>
    <t>MRSA (clindamycin, erythromycin, oxacillin, bactrim resistant)</t>
  </si>
  <si>
    <t>Acute malodorous erosion</t>
  </si>
  <si>
    <t>SUB17g</t>
  </si>
  <si>
    <t>Corynebacterium striatum</t>
  </si>
  <si>
    <t>Chronic recurring erosive patch</t>
  </si>
  <si>
    <t>SUB17h</t>
  </si>
  <si>
    <t>MRSA (clindamycin, erythromycin, oxacillin, bactrim, mupirocin resistant)</t>
  </si>
  <si>
    <t xml:space="preserve">
Rare polymorphonuclear leukocytes observedNo organisms seen</t>
  </si>
  <si>
    <t>Acute yellow exudative ulcer</t>
  </si>
  <si>
    <t>SUB17i</t>
  </si>
  <si>
    <t>R leg</t>
  </si>
  <si>
    <t>Serratia (ampicillin, ampicililin-sulbactam, aztreonam, cefazolin, ceftazidime, ceftriaxone, nitrofurantoin resistant)</t>
  </si>
  <si>
    <t>Acute ulcer with brown-gray exudate</t>
  </si>
  <si>
    <t>SUB17j</t>
  </si>
  <si>
    <t>R hand</t>
  </si>
  <si>
    <t>Acute; did not appear infected</t>
  </si>
  <si>
    <t>SUB17k</t>
  </si>
  <si>
    <t>Shoulder</t>
  </si>
  <si>
    <t>MRSA (clindamycin, erythromycin, oxacillin, tetracycline, mupirocin resistant)</t>
  </si>
  <si>
    <t>Chronic; appeared infected (purulence)</t>
  </si>
  <si>
    <t>SUB17l</t>
  </si>
  <si>
    <t>Arm</t>
  </si>
  <si>
    <t>MRSA (clindamycin, erythromycin, oxacillin, Bactrim resistant, mupirocin not tested)</t>
  </si>
  <si>
    <t>Rare PMN, moderate GP cocci in clusters</t>
  </si>
  <si>
    <t>Chronic (prolonged healing), not infected</t>
  </si>
  <si>
    <t>SUB17m</t>
  </si>
  <si>
    <t>Thigh</t>
  </si>
  <si>
    <t>Proteus mirabilis, MSSA</t>
  </si>
  <si>
    <t>MSSA (nitrofurantoin, tetracyclineresistant, mupirocin not tested)</t>
  </si>
  <si>
    <t>Rare PMN, few GP cocci in clusters, moderate GN rods</t>
  </si>
  <si>
    <t>Chronic, purulent</t>
  </si>
  <si>
    <t>SUB18a</t>
  </si>
  <si>
    <t>Right upper back</t>
  </si>
  <si>
    <t>Enterobacter cloacae complex, acinetobacter baumannii complex, MSSA</t>
  </si>
  <si>
    <t>Enterobacter (ampicillin, ampicillin-sulbactam, aztreonam, cefazolin, cefoxitin, ceftazidime, ceftriaxone resistant), Acinetobacter (amikacin, cefepime, gentamicin, tobramycin resistant), MSSA (erythromycin resistant, mupirocin susceptible)</t>
  </si>
  <si>
    <t>No PMNs, Few GNRs</t>
  </si>
  <si>
    <t>Acute small pustule</t>
  </si>
  <si>
    <t>SUB19a</t>
  </si>
  <si>
    <t>Left foot</t>
  </si>
  <si>
    <t>Acute,soles and foles with several bullae and heme filled erosions.</t>
  </si>
  <si>
    <t>Plates to Dietrich lab; Swab to Wang lab *Note that originally labelled as 18a accidentally</t>
  </si>
  <si>
    <t>SUB20a</t>
  </si>
  <si>
    <t>MSSA (bactrim resistant, mupirocin susceptible)</t>
  </si>
  <si>
    <t>Moderate PMNs, Few GP Cocci in clusters</t>
  </si>
  <si>
    <t>Chronic back wound, currently decreasing in size</t>
  </si>
  <si>
    <t>Plates to Dietrich lab; Swab to Wang lab (note that lab initially discraded swab but found in bin)</t>
  </si>
  <si>
    <t>SUB20b</t>
  </si>
  <si>
    <t>Left thigh</t>
  </si>
  <si>
    <t>PsA (aztreonam, levofloxacin intermediate susceptibility), MSSA (bactrim resistant, mupirocin susceptible)</t>
  </si>
  <si>
    <t>No PMNs, few GP cocci in clusters</t>
  </si>
  <si>
    <t>Chronic; not infected</t>
  </si>
  <si>
    <t>SUB20c</t>
  </si>
  <si>
    <t>PsA (aztreonam and levofloxacin intermediate susceptibility), MSSA (bactrim resistant, mupirocin susceptible)</t>
  </si>
  <si>
    <t>Few PMNs, moderate GP cocci in clusters, few GN rods</t>
  </si>
  <si>
    <t>Chronic; purulent</t>
  </si>
  <si>
    <t>SUB21a</t>
  </si>
  <si>
    <t>Moderate PMNs leukocytes observed, No organisms seen</t>
  </si>
  <si>
    <t>SUB22a</t>
  </si>
  <si>
    <t>Right hand</t>
  </si>
  <si>
    <t>Acute, not infected</t>
  </si>
  <si>
    <t>SUB22b</t>
  </si>
  <si>
    <t>Right foot</t>
  </si>
  <si>
    <t>Not included because of cutoff date 3/13/25:</t>
  </si>
  <si>
    <t>SUB4h</t>
  </si>
  <si>
    <t>L Neck</t>
  </si>
  <si>
    <t>"No polymorphonuclear leukocytes observed Moderate Gram Positive Cocci in clusters Few Gram Positive Cocci in pairs in chains "</t>
  </si>
  <si>
    <t>Plates to Dietrich lab; NO swab to Wang lab (lost? - micro lab had empty labeled tube in EB bucket but no swab inside tube)</t>
  </si>
  <si>
    <t>SUB10i</t>
  </si>
  <si>
    <t>Left AC fossa</t>
  </si>
  <si>
    <t>MSSA (resistant to levofloxacin, erythromycin)</t>
  </si>
  <si>
    <t>"Rare polymorphonuclear leukocytes observed No organisms seen "</t>
  </si>
  <si>
    <t>Chronic wound, acute changes: exophytic, pedunculated lesion on pink, beefy granulation tissue. no signs of infection (purulence, crusting, edema)</t>
  </si>
  <si>
    <t>Plates/e-swab not sent to labs</t>
  </si>
  <si>
    <t>SUB10j</t>
  </si>
  <si>
    <t>chronic. eroded plaque with white to yellowish exudate.</t>
  </si>
  <si>
    <t>SUB11h</t>
  </si>
  <si>
    <t>Right ankle</t>
  </si>
  <si>
    <t>MSSA (resistant to mupirocin, levofloxacin, erythromycin)</t>
  </si>
  <si>
    <t>"No polymorphonuclear leukocytes observed No organisms seen"</t>
  </si>
  <si>
    <t>acute, edematous wound, does not look infected.</t>
  </si>
  <si>
    <t>SUB12e</t>
  </si>
  <si>
    <t>No polymorphonuclear leukocytes observed, no organism</t>
  </si>
  <si>
    <t>Chronic, honey crusted</t>
  </si>
  <si>
    <t>Plates to Dietrich lab; e-swab to the Wang lab</t>
  </si>
  <si>
    <t>SUB12f</t>
  </si>
  <si>
    <t>Left thigh/buttock</t>
  </si>
  <si>
    <t>Chronic, clean but scalloped border, opens and clsoes on and off</t>
  </si>
  <si>
    <t>SUB16i</t>
  </si>
  <si>
    <t>Few polymorphonuclear leukocytes observed Few Gram Positive Cocci in clusters</t>
  </si>
  <si>
    <t>Acute, purulent</t>
  </si>
  <si>
    <t>SUB17n</t>
  </si>
  <si>
    <t>L forearm</t>
  </si>
  <si>
    <t>acute, expanding large erosion. no purulence</t>
  </si>
  <si>
    <t>Plates not provided by lab since mixed commensal; e-swab to the Wang lab</t>
  </si>
  <si>
    <t>SUB17o</t>
  </si>
  <si>
    <t>R posterior ear</t>
  </si>
  <si>
    <t>MSSA (resistant to clindamycin, tetracycline)</t>
  </si>
  <si>
    <t>"No polymorphonuclear leukocytes observed Few Gram Positive Cocci in clusters "</t>
  </si>
  <si>
    <t>acute, heme crust, no purulence</t>
  </si>
  <si>
    <t>SUB17p</t>
  </si>
  <si>
    <t>L foot</t>
  </si>
  <si>
    <t>MSSA (resistant to tetracycline)</t>
  </si>
  <si>
    <t>"Rare polymorphonuclear leukocytes observed Moderate Gram Positive Cocci in clusters "</t>
  </si>
  <si>
    <t>acute, papule with purulent exudate</t>
  </si>
  <si>
    <t>115 total cultures and swabs</t>
  </si>
  <si>
    <t>20 swabs discarded</t>
  </si>
  <si>
    <t xml:space="preserve">2 swabs maybe discarded (SUB2o 1/26/23, SUB 14c 2/13/25) </t>
  </si>
  <si>
    <t>SUBJECT</t>
  </si>
  <si>
    <t>SA</t>
  </si>
  <si>
    <t>PA</t>
  </si>
  <si>
    <t>E. Coli</t>
  </si>
  <si>
    <t>Proteus Mirabilis</t>
  </si>
  <si>
    <t>Corynebacterium</t>
  </si>
  <si>
    <t>Klebsiella (species)</t>
  </si>
  <si>
    <t>Serratia</t>
  </si>
  <si>
    <t>Acinetobacter Baumani</t>
  </si>
  <si>
    <t>GBS</t>
  </si>
  <si>
    <t>E. Faecalis</t>
  </si>
  <si>
    <t>Pluralibacter gergoviae</t>
  </si>
  <si>
    <t xml:space="preserve"> Enterobacter cloacae complex</t>
  </si>
  <si>
    <t>No</t>
  </si>
  <si>
    <t># Positive</t>
  </si>
  <si>
    <t>% Positive</t>
  </si>
  <si>
    <t>PA Positive cultures</t>
  </si>
  <si>
    <t>Codified</t>
  </si>
  <si>
    <t>Trunk</t>
  </si>
  <si>
    <t>X</t>
  </si>
  <si>
    <t>Lower extremity</t>
  </si>
  <si>
    <t>Upper extremity</t>
  </si>
  <si>
    <t>Wound location</t>
  </si>
  <si>
    <t>Wound chronicity</t>
  </si>
  <si>
    <t>Signs of infection</t>
  </si>
  <si>
    <t>14 of 18 had staph or strep also in culture</t>
  </si>
  <si>
    <t>Trunk (Back, Buttock, Abdomen) = 13 out of 18</t>
  </si>
  <si>
    <t>Chronic = 15 out of 18</t>
  </si>
  <si>
    <t>Yes = 6 out of 18</t>
  </si>
  <si>
    <t>Upper Extremity = 2 out of 18</t>
  </si>
  <si>
    <t>Unknown = 1 out of 18</t>
  </si>
  <si>
    <t xml:space="preserve">No = 12 out of 18 </t>
  </si>
  <si>
    <t>Lower Extremity including Foot = 3 out of 18</t>
  </si>
  <si>
    <t>Acute = 2 out of 18</t>
  </si>
  <si>
    <t>The other labs should have received 17 swabs and cultures</t>
  </si>
  <si>
    <t>Streptococcus pyogenes (GAS)</t>
  </si>
  <si>
    <t>Pseudomonas, MRSA (mupirocin sensitivity not tested)</t>
  </si>
  <si>
    <t>Pseudomonas aeruginosa, MSSA (Bactrim resistant, mupirocin susceptible)</t>
  </si>
  <si>
    <t>Moderate Pseudomonas aeruginosa, many MSSA</t>
  </si>
  <si>
    <t>Pseudomonas aeruginosa, MRSA (mupirocin sensitivity not tested)</t>
  </si>
  <si>
    <t>No PMNs, Few Gram positive cocci in clusters seen</t>
  </si>
  <si>
    <t>left arm</t>
  </si>
  <si>
    <t>Pseudomonas aeruginosa (resistant to cefepime, ceftazidime, pip-tazo), Klebsiella oxytoca (resistant to ampicillin &amp; cefazolin), Enterococcus faecalis (pan-sensitive)</t>
  </si>
  <si>
    <t>Pseudomonas aeruginosa (pan-susceptible), MSSA (resistant to erythromycin)</t>
  </si>
  <si>
    <t>No PMNs, Few GNRs, Few Gram positive cocci in clusters</t>
  </si>
  <si>
    <t>Pseudomonas aeruginosa (pan-susceptible), MSSA (erythromycin-resistant)</t>
  </si>
  <si>
    <t>Pseudomonas aeruginosa (pan-susceptible), MRSA (mupirocin-sensitive; resistant to erythromycin, levofloxacin, and oxacillin)</t>
  </si>
  <si>
    <t>Pseudomonas aeruginosa (intermediate susceptibility to gentamicin)</t>
  </si>
  <si>
    <t>Pseudomonas aeruginosa (intermediate susceptibility ot aztreonam)</t>
  </si>
  <si>
    <t>Proteus mirabilis, MSSA (nitrofurantoin resistant, tetracycline resistant)</t>
  </si>
  <si>
    <t>Proteus mirabilis (tetracycline-resistant);</t>
  </si>
  <si>
    <t>Right medial ankle</t>
  </si>
  <si>
    <t>no organisms seen</t>
  </si>
  <si>
    <t>No organisms seen</t>
  </si>
  <si>
    <t>MSSA, mupirocin-resistant</t>
  </si>
  <si>
    <t>MSSA and GAS</t>
  </si>
  <si>
    <t>MSSA (tetraacycline-resistant)</t>
  </si>
  <si>
    <t>Many MSSA, No PMNs or organisms visible</t>
  </si>
  <si>
    <t>MSSA (susceptible, mupirocin susceptible), GBS, Pseudomonas (aztreonam and piperacillin-tazobactam resistant)</t>
  </si>
  <si>
    <t>Many Pseudomonas aeruginosa, Mixed commensal microbiota</t>
  </si>
  <si>
    <t>MSSA (resistant to levofloxacin)</t>
  </si>
  <si>
    <t>MSSA (resistant to clindamycin and erythromycin)</t>
  </si>
  <si>
    <t>MSSA (mupirocin-susceptible, erythromycin-resistant), Enterobacter cloacae complex, Acinetobacter baumanii complex</t>
  </si>
  <si>
    <t>MSSA (mupirocin-resistant)</t>
  </si>
  <si>
    <t>S</t>
  </si>
  <si>
    <t>Knee</t>
  </si>
  <si>
    <t>chest</t>
  </si>
  <si>
    <t>MSSA (Mupirocin resistant); Serratia marcescens</t>
  </si>
  <si>
    <t>MSSA (levofloxacin-resistant)</t>
  </si>
  <si>
    <t>Heel</t>
  </si>
  <si>
    <t>MSSA (erythromycin resistant, levofloxacin resistant, mupirocin not tested)</t>
  </si>
  <si>
    <t>MSSA (erythromycin and levofloxacin resistant, mupirocin not tested)</t>
  </si>
  <si>
    <t>MSSA (clindamycin resistant, erythromycin resistant, mupirocin susceptible), GAS</t>
  </si>
  <si>
    <t>MSSA (Clindamycin resistant, erythromycin resistant, mupirocin not tested but was tested above)</t>
  </si>
  <si>
    <t>MSSA (bactrim resistant, mupirocin not tested)</t>
  </si>
  <si>
    <t>MSSA (all susceptible, mupirocin not tested but tested below)</t>
  </si>
  <si>
    <t>Ear</t>
  </si>
  <si>
    <t>Moderate Gram Negative rods (sample from buttocks*)</t>
  </si>
  <si>
    <t>L shin</t>
  </si>
  <si>
    <t>left ankle</t>
  </si>
  <si>
    <t>right ear</t>
  </si>
  <si>
    <t>right elbow</t>
  </si>
  <si>
    <t>Hand</t>
  </si>
  <si>
    <t>MRSA (no resistance testing but likely same as 17K)</t>
  </si>
  <si>
    <t>MRSA (mupirocin, clindamycin, erythromycin, oxacillin, tetracycline, Bactrim resistant)</t>
  </si>
  <si>
    <t>MRSA (mupirocin-susceptible)</t>
  </si>
  <si>
    <t>Many PMNs, few Gram+ Cocci</t>
  </si>
  <si>
    <t>R neck</t>
  </si>
  <si>
    <t>MRSA (mupirocin-sensitive, resistant to oxacillin)</t>
  </si>
  <si>
    <t>MRSA (mupirocin-resistant; resistant to levofloxacin, oxacillin, tetracycline, and Trimethoprim-sulfamethoxazole; intermediate susceptibility to erythromycin)</t>
  </si>
  <si>
    <t>few gram positive cocci in clusters</t>
  </si>
  <si>
    <t>MRSA (mupirocin susceptible)</t>
  </si>
  <si>
    <t>Rare polymorphonuclear leukocytes observed, Few Gram Positive Cocci in cluster</t>
  </si>
  <si>
    <t>MRSA (mupirocin sensitivity not tested), Strep pyogenes, Pseudomonas</t>
  </si>
  <si>
    <t>MRSA (erythromycin, levofloxacin, oxacillin-resistant, mupirocin not tested)</t>
  </si>
  <si>
    <t>MRSA (erythromycin-resistant, levofloxacin-resistant, and oxacillin-resistant)</t>
  </si>
  <si>
    <t>MRSA (clindamycin-resistant, erythromycin-resistant, Bactrim-resistant)</t>
  </si>
  <si>
    <t>MRSA (clindamycin resistant, erythromycin resistant, oxacillin resistant, Bactrim resistant)</t>
  </si>
  <si>
    <t>left upper chest</t>
  </si>
  <si>
    <t>right upper chest</t>
  </si>
  <si>
    <t>Few PMNs, no organisms seen</t>
  </si>
  <si>
    <t>r medial foot</t>
  </si>
  <si>
    <t>Klebsiella pneumoniae, Pseudomonas aeruginosa, MSSA (mupirocin-susceptible)</t>
  </si>
  <si>
    <t>No PMNs; Few Gram+ Cocci in pairs, Few Gram+ Cocci in clusters, Few GNRs</t>
  </si>
  <si>
    <t>No PMNs; Moderate Gram+ Cocci in pairs, Few Gram+ Cocci in clusters, Few GNRs</t>
  </si>
  <si>
    <t>No PMNs; Moderate GNRs, Few Gram+ Cocci in pairs, Few Gram+ Cocci in clusters</t>
  </si>
  <si>
    <t>E. Coli, Acinetobacter baumannii complex</t>
  </si>
  <si>
    <t>Wound Location</t>
  </si>
  <si>
    <t>Wound Chronicity</t>
  </si>
  <si>
    <t>Trunk (Back, Buttock, Abdomen) = 7 out of 12</t>
  </si>
  <si>
    <t>9 out of 12 chronic wounds</t>
  </si>
  <si>
    <t>Upper Extremity 1 out of 12</t>
  </si>
  <si>
    <t>1 unknown</t>
  </si>
  <si>
    <t>Lower Extremity including Foot 4 out of 12</t>
  </si>
  <si>
    <t>2 acute</t>
  </si>
  <si>
    <t>Signs of Infection</t>
  </si>
  <si>
    <t>8 of 12 had staph or strep also in culture</t>
  </si>
  <si>
    <t>4 out of 12 YES</t>
  </si>
  <si>
    <t>8 out of 12 NO</t>
  </si>
  <si>
    <t>Strep</t>
  </si>
  <si>
    <t>Acinitobacter Baumani</t>
  </si>
  <si>
    <t xml:space="preserve">No </t>
  </si>
  <si>
    <t>111 total cultures from 21 patients</t>
  </si>
  <si>
    <t>What is 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</si>
</sst>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6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scheme val="minor"/>
    </font>
    <font>
      <i/>
      <sz val="12"/>
      <color theme="1"/>
      <name val="Aptos Narrow"/>
      <family val="2"/>
      <scheme val="minor"/>
    </font>
    <font>
      <i/>
      <sz val="12"/>
      <color rgb="FF000000"/>
      <name val="Aptos"/>
    </font>
    <font>
      <b/>
      <sz val="12"/>
      <color theme="1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0" fontId="0" fillId="2" borderId="0" xfId="0" applyFill="1"/>
    <xf numFmtId="16" fontId="0" fillId="0" borderId="0" xfId="0" applyNumberFormat="1"/>
    <xf numFmtId="9" fontId="0" fillId="0" borderId="0" xfId="0" applyNumberFormat="1"/>
    <xf numFmtId="0" fontId="0" fillId="3" borderId="0" xfId="0" applyFill="1"/>
    <xf numFmtId="0" fontId="0" fillId="4" borderId="0" xfId="0" applyFill="1"/>
    <xf numFmtId="14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0" fontId="0" fillId="6" borderId="0" xfId="0" applyFill="1"/>
    <xf numFmtId="14" fontId="0" fillId="6" borderId="0" xfId="0" applyNumberFormat="1" applyFill="1"/>
    <xf numFmtId="0" fontId="0" fillId="7" borderId="0" xfId="0" applyFill="1"/>
    <xf numFmtId="14" fontId="0" fillId="7" borderId="0" xfId="0" applyNumberFormat="1" applyFill="1"/>
    <xf numFmtId="0" fontId="0" fillId="8" borderId="0" xfId="0" applyFill="1"/>
    <xf numFmtId="14" fontId="0" fillId="8" borderId="0" xfId="0" applyNumberFormat="1" applyFill="1"/>
    <xf numFmtId="0" fontId="0" fillId="9" borderId="0" xfId="0" applyFill="1"/>
    <xf numFmtId="14" fontId="0" fillId="9" borderId="0" xfId="0" applyNumberFormat="1" applyFill="1"/>
    <xf numFmtId="0" fontId="0" fillId="10" borderId="0" xfId="0" applyFill="1"/>
    <xf numFmtId="0" fontId="0" fillId="11" borderId="0" xfId="0" applyFill="1"/>
    <xf numFmtId="16" fontId="0" fillId="10" borderId="0" xfId="0" applyNumberFormat="1" applyFill="1"/>
    <xf numFmtId="0" fontId="1" fillId="12" borderId="0" xfId="0" applyFont="1" applyFill="1"/>
    <xf numFmtId="0" fontId="0" fillId="13" borderId="0" xfId="0" applyFill="1"/>
    <xf numFmtId="0" fontId="0" fillId="14" borderId="0" xfId="0" applyFill="1"/>
    <xf numFmtId="14" fontId="0" fillId="14" borderId="0" xfId="0" applyNumberFormat="1" applyFill="1"/>
    <xf numFmtId="0" fontId="0" fillId="15" borderId="0" xfId="0" applyFill="1"/>
    <xf numFmtId="14" fontId="0" fillId="15" borderId="0" xfId="0" applyNumberFormat="1" applyFill="1"/>
    <xf numFmtId="0" fontId="2" fillId="15" borderId="0" xfId="0" applyFont="1" applyFill="1"/>
    <xf numFmtId="14" fontId="2" fillId="15" borderId="0" xfId="0" applyNumberFormat="1" applyFont="1" applyFill="1"/>
    <xf numFmtId="0" fontId="2" fillId="0" borderId="0" xfId="0" applyFont="1"/>
    <xf numFmtId="0" fontId="3" fillId="0" borderId="0" xfId="0" applyFont="1"/>
    <xf numFmtId="14" fontId="2" fillId="0" borderId="0" xfId="0" applyNumberFormat="1" applyFont="1"/>
    <xf numFmtId="14" fontId="4" fillId="0" borderId="0" xfId="0" applyNumberFormat="1" applyFont="1"/>
    <xf numFmtId="0" fontId="5" fillId="15" borderId="0" xfId="0" applyFont="1" applyFill="1"/>
    <xf numFmtId="0" fontId="5" fillId="0" borderId="0" xfId="0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orn, Katharina" id="{5DB6F96F-6E73-A24E-95D4-A094E61ADA51}" userId="S::kh2829@cumc.columbia.edu::bbf7f48c-d7c2-477b-835c-562354ca571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3" dT="2025-09-11T14:04:23.74" personId="{5DB6F96F-6E73-A24E-95D4-A094E61ADA51}" id="{BEB26F66-EC34-5440-9332-CD72803E0AAC}">
    <text>Previously left shin</text>
  </threadedComment>
  <threadedComment ref="E84" dT="2025-09-11T14:05:12.39" personId="{5DB6F96F-6E73-A24E-95D4-A094E61ADA51}" id="{18EDAFEA-FBE0-2644-A6E7-8004D19FA1EC}">
    <text>Previously 5/3/24</text>
  </threadedComment>
  <threadedComment ref="E109" dT="2025-09-11T14:45:26.75" personId="{5DB6F96F-6E73-A24E-95D4-A094E61ADA51}" id="{7B85C27D-BE3C-8B41-B17F-3ABA342D95D1}">
    <text>Previously 10/21/23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98C88-B245-2346-AFE0-E344CF219CA0}">
  <dimension ref="A1:R132"/>
  <sheetViews>
    <sheetView workbookViewId="0">
      <pane ySplit="1" topLeftCell="B18" activePane="bottomLeft" state="frozen"/>
      <selection pane="bottomLeft" activeCell="C6" sqref="C6"/>
    </sheetView>
  </sheetViews>
  <sheetFormatPr defaultColWidth="11" defaultRowHeight="15.75" customHeight="1"/>
  <cols>
    <col min="2" max="2" width="15" customWidth="1"/>
    <col min="3" max="3" width="11.25" customWidth="1"/>
    <col min="4" max="4" width="12.75" customWidth="1"/>
    <col min="6" max="6" width="13.125" customWidth="1"/>
    <col min="7" max="7" width="61" customWidth="1"/>
    <col min="8" max="8" width="53.375" customWidth="1"/>
    <col min="10" max="10" width="20.375" customWidth="1"/>
    <col min="15" max="15" width="8.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O1" t="s">
        <v>11</v>
      </c>
    </row>
    <row r="2" spans="1:15" s="23" customFormat="1">
      <c r="A2" s="23" t="s">
        <v>12</v>
      </c>
      <c r="B2" s="23" t="s">
        <v>13</v>
      </c>
      <c r="C2" s="23" t="s">
        <v>13</v>
      </c>
      <c r="E2" s="24">
        <v>44532</v>
      </c>
      <c r="F2" s="23" t="s">
        <v>14</v>
      </c>
      <c r="G2" s="23" t="s">
        <v>15</v>
      </c>
      <c r="H2" s="23" t="s">
        <v>16</v>
      </c>
      <c r="I2" s="23" t="s">
        <v>17</v>
      </c>
      <c r="K2" s="23" t="s">
        <v>18</v>
      </c>
      <c r="O2" s="23" t="s">
        <v>19</v>
      </c>
    </row>
    <row r="3" spans="1:15" s="23" customFormat="1">
      <c r="A3" s="23" t="s">
        <v>20</v>
      </c>
      <c r="B3" s="23" t="s">
        <v>13</v>
      </c>
      <c r="C3" s="23" t="s">
        <v>13</v>
      </c>
      <c r="E3" s="24">
        <v>45141</v>
      </c>
      <c r="F3" s="23" t="s">
        <v>21</v>
      </c>
      <c r="G3" s="23" t="s">
        <v>15</v>
      </c>
      <c r="H3" s="23" t="s">
        <v>22</v>
      </c>
      <c r="I3" s="23" t="s">
        <v>23</v>
      </c>
      <c r="J3" s="23" t="s">
        <v>24</v>
      </c>
      <c r="K3" s="23" t="s">
        <v>25</v>
      </c>
      <c r="O3" s="23" t="s">
        <v>19</v>
      </c>
    </row>
    <row r="4" spans="1:15" s="23" customFormat="1">
      <c r="A4" s="23" t="s">
        <v>26</v>
      </c>
      <c r="B4" s="23" t="s">
        <v>13</v>
      </c>
      <c r="E4" s="24">
        <v>45323</v>
      </c>
      <c r="F4" s="23" t="s">
        <v>27</v>
      </c>
      <c r="G4" s="23" t="s">
        <v>15</v>
      </c>
      <c r="H4" s="23" t="s">
        <v>28</v>
      </c>
      <c r="I4" s="23" t="s">
        <v>29</v>
      </c>
      <c r="J4" s="23" t="s">
        <v>30</v>
      </c>
      <c r="K4" s="23" t="s">
        <v>31</v>
      </c>
      <c r="O4" s="23" t="s">
        <v>19</v>
      </c>
    </row>
    <row r="5" spans="1:15" s="23" customFormat="1">
      <c r="A5" s="23" t="s">
        <v>32</v>
      </c>
      <c r="B5" s="23" t="s">
        <v>13</v>
      </c>
      <c r="E5" s="24">
        <v>45323</v>
      </c>
      <c r="F5" s="23" t="s">
        <v>33</v>
      </c>
      <c r="G5" s="23" t="s">
        <v>15</v>
      </c>
      <c r="H5" s="23" t="s">
        <v>22</v>
      </c>
      <c r="I5" s="23" t="s">
        <v>34</v>
      </c>
      <c r="J5" s="23" t="s">
        <v>35</v>
      </c>
      <c r="K5" s="23" t="s">
        <v>31</v>
      </c>
      <c r="O5" s="23" t="s">
        <v>19</v>
      </c>
    </row>
    <row r="6" spans="1:15" s="23" customFormat="1">
      <c r="A6" s="23" t="s">
        <v>36</v>
      </c>
      <c r="B6" s="23" t="s">
        <v>13</v>
      </c>
      <c r="D6" s="23" t="s">
        <v>13</v>
      </c>
      <c r="E6" s="24">
        <v>45401</v>
      </c>
      <c r="F6" s="23" t="s">
        <v>37</v>
      </c>
      <c r="G6" s="23" t="s">
        <v>38</v>
      </c>
      <c r="H6" s="23" t="s">
        <v>39</v>
      </c>
      <c r="I6" s="23" t="s">
        <v>40</v>
      </c>
      <c r="J6" s="23" t="s">
        <v>41</v>
      </c>
      <c r="K6" s="23" t="s">
        <v>31</v>
      </c>
      <c r="O6" s="23" t="s">
        <v>19</v>
      </c>
    </row>
    <row r="7" spans="1:15" s="23" customFormat="1">
      <c r="A7" s="23" t="s">
        <v>42</v>
      </c>
      <c r="B7" s="23" t="s">
        <v>13</v>
      </c>
      <c r="D7" s="23" t="s">
        <v>13</v>
      </c>
      <c r="E7" s="24">
        <v>45401</v>
      </c>
      <c r="F7" s="23" t="s">
        <v>43</v>
      </c>
      <c r="G7" s="23" t="s">
        <v>44</v>
      </c>
      <c r="H7" s="23" t="s">
        <v>39</v>
      </c>
      <c r="I7" s="23" t="s">
        <v>45</v>
      </c>
      <c r="J7" s="23" t="s">
        <v>46</v>
      </c>
      <c r="K7" s="23" t="s">
        <v>31</v>
      </c>
      <c r="O7" s="23" t="s">
        <v>19</v>
      </c>
    </row>
    <row r="8" spans="1:15" s="23" customFormat="1">
      <c r="A8" s="23" t="s">
        <v>47</v>
      </c>
      <c r="B8" s="23" t="s">
        <v>13</v>
      </c>
      <c r="D8" s="23" t="s">
        <v>13</v>
      </c>
      <c r="E8" s="24">
        <v>45401</v>
      </c>
      <c r="F8" s="23" t="s">
        <v>48</v>
      </c>
      <c r="G8" s="23" t="s">
        <v>44</v>
      </c>
      <c r="H8" s="23" t="s">
        <v>39</v>
      </c>
      <c r="I8" s="23" t="s">
        <v>49</v>
      </c>
      <c r="J8" s="23" t="s">
        <v>41</v>
      </c>
      <c r="K8" s="23" t="s">
        <v>31</v>
      </c>
      <c r="O8" s="23" t="s">
        <v>19</v>
      </c>
    </row>
    <row r="9" spans="1:15" s="23" customFormat="1">
      <c r="A9" s="23" t="s">
        <v>50</v>
      </c>
      <c r="B9" s="23" t="s">
        <v>13</v>
      </c>
      <c r="E9" s="24">
        <v>45674</v>
      </c>
      <c r="F9" s="23" t="s">
        <v>51</v>
      </c>
      <c r="G9" s="23" t="s">
        <v>15</v>
      </c>
      <c r="H9" s="23" t="s">
        <v>52</v>
      </c>
      <c r="I9" s="23" t="s">
        <v>53</v>
      </c>
      <c r="J9" s="23" t="s">
        <v>54</v>
      </c>
      <c r="K9" s="23" t="s">
        <v>55</v>
      </c>
      <c r="O9" s="23" t="s">
        <v>19</v>
      </c>
    </row>
    <row r="10" spans="1:15" s="23" customFormat="1">
      <c r="A10" s="23" t="s">
        <v>56</v>
      </c>
      <c r="B10" s="23" t="s">
        <v>13</v>
      </c>
      <c r="D10" s="23" t="s">
        <v>13</v>
      </c>
      <c r="E10" s="24">
        <v>45674</v>
      </c>
      <c r="F10" s="23" t="s">
        <v>57</v>
      </c>
      <c r="G10" s="23" t="s">
        <v>58</v>
      </c>
      <c r="H10" s="23" t="s">
        <v>59</v>
      </c>
      <c r="I10" s="23" t="s">
        <v>60</v>
      </c>
      <c r="J10" s="23" t="s">
        <v>54</v>
      </c>
      <c r="K10" s="23" t="s">
        <v>55</v>
      </c>
      <c r="O10" s="23" t="s">
        <v>19</v>
      </c>
    </row>
    <row r="11" spans="1:15" s="25" customFormat="1">
      <c r="A11" s="25" t="s">
        <v>61</v>
      </c>
      <c r="B11" s="25" t="s">
        <v>13</v>
      </c>
      <c r="D11" s="25" t="s">
        <v>13</v>
      </c>
      <c r="E11" s="26">
        <v>44546</v>
      </c>
      <c r="F11" s="25" t="s">
        <v>62</v>
      </c>
      <c r="G11" s="25" t="s">
        <v>63</v>
      </c>
      <c r="H11" s="25" t="s">
        <v>64</v>
      </c>
      <c r="I11" s="25" t="s">
        <v>65</v>
      </c>
      <c r="J11" s="25" t="s">
        <v>66</v>
      </c>
      <c r="K11" s="25" t="s">
        <v>18</v>
      </c>
      <c r="O11" s="25" t="s">
        <v>19</v>
      </c>
    </row>
    <row r="12" spans="1:15" s="25" customFormat="1">
      <c r="A12" s="25" t="s">
        <v>67</v>
      </c>
      <c r="B12" s="25" t="s">
        <v>13</v>
      </c>
      <c r="D12" s="25" t="s">
        <v>13</v>
      </c>
      <c r="E12" s="26">
        <v>44546</v>
      </c>
      <c r="F12" s="25" t="s">
        <v>68</v>
      </c>
      <c r="G12" s="25" t="s">
        <v>63</v>
      </c>
      <c r="H12" s="25" t="s">
        <v>69</v>
      </c>
      <c r="I12" s="25" t="s">
        <v>70</v>
      </c>
      <c r="J12" s="25" t="s">
        <v>71</v>
      </c>
      <c r="K12" s="25" t="s">
        <v>18</v>
      </c>
      <c r="O12" s="25" t="s">
        <v>19</v>
      </c>
    </row>
    <row r="13" spans="1:15" s="25" customFormat="1">
      <c r="A13" s="25" t="s">
        <v>72</v>
      </c>
      <c r="B13" s="25" t="s">
        <v>13</v>
      </c>
      <c r="E13" s="26">
        <v>44546</v>
      </c>
      <c r="F13" s="25" t="s">
        <v>73</v>
      </c>
      <c r="G13" s="25" t="s">
        <v>74</v>
      </c>
      <c r="H13" s="25" t="s">
        <v>75</v>
      </c>
      <c r="I13" s="25" t="s">
        <v>76</v>
      </c>
      <c r="K13" s="25" t="s">
        <v>18</v>
      </c>
      <c r="O13" s="25" t="s">
        <v>19</v>
      </c>
    </row>
    <row r="14" spans="1:15" s="25" customFormat="1">
      <c r="A14" s="25" t="s">
        <v>77</v>
      </c>
      <c r="B14" s="25" t="s">
        <v>13</v>
      </c>
      <c r="E14" s="26">
        <v>44602</v>
      </c>
      <c r="F14" s="25" t="s">
        <v>68</v>
      </c>
      <c r="G14" s="25" t="s">
        <v>15</v>
      </c>
      <c r="H14" s="25" t="s">
        <v>78</v>
      </c>
      <c r="I14" s="25" t="s">
        <v>79</v>
      </c>
      <c r="K14" s="25" t="s">
        <v>80</v>
      </c>
      <c r="O14" s="25" t="s">
        <v>19</v>
      </c>
    </row>
    <row r="15" spans="1:15" s="25" customFormat="1">
      <c r="A15" s="25" t="s">
        <v>81</v>
      </c>
      <c r="B15" s="25" t="s">
        <v>13</v>
      </c>
      <c r="E15" s="26">
        <v>44602</v>
      </c>
      <c r="F15" s="25" t="s">
        <v>82</v>
      </c>
      <c r="G15" s="25" t="s">
        <v>15</v>
      </c>
      <c r="H15" s="25" t="s">
        <v>83</v>
      </c>
      <c r="I15" s="25" t="s">
        <v>84</v>
      </c>
      <c r="K15" s="25" t="s">
        <v>85</v>
      </c>
      <c r="O15" s="25" t="s">
        <v>19</v>
      </c>
    </row>
    <row r="16" spans="1:15" s="25" customFormat="1">
      <c r="A16" s="25" t="s">
        <v>86</v>
      </c>
      <c r="B16" s="25" t="s">
        <v>13</v>
      </c>
      <c r="E16" s="26">
        <v>44602</v>
      </c>
      <c r="F16" s="25" t="s">
        <v>87</v>
      </c>
      <c r="G16" s="25" t="s">
        <v>88</v>
      </c>
      <c r="H16" s="25" t="s">
        <v>89</v>
      </c>
      <c r="I16" s="25" t="s">
        <v>90</v>
      </c>
      <c r="K16" s="25" t="s">
        <v>85</v>
      </c>
      <c r="O16" s="25" t="s">
        <v>19</v>
      </c>
    </row>
    <row r="17" spans="1:15" s="25" customFormat="1">
      <c r="A17" s="25" t="s">
        <v>91</v>
      </c>
      <c r="B17" s="25" t="s">
        <v>13</v>
      </c>
      <c r="E17" s="26">
        <v>44602</v>
      </c>
      <c r="F17" s="25" t="s">
        <v>62</v>
      </c>
      <c r="G17" s="25" t="s">
        <v>88</v>
      </c>
      <c r="H17" s="25" t="s">
        <v>89</v>
      </c>
      <c r="I17" s="25" t="s">
        <v>90</v>
      </c>
      <c r="K17" s="25" t="s">
        <v>85</v>
      </c>
      <c r="O17" s="25" t="s">
        <v>19</v>
      </c>
    </row>
    <row r="18" spans="1:15" s="25" customFormat="1">
      <c r="A18" s="25" t="s">
        <v>92</v>
      </c>
      <c r="B18" s="25" t="s">
        <v>13</v>
      </c>
      <c r="E18" s="26">
        <v>44637</v>
      </c>
      <c r="F18" s="25" t="s">
        <v>93</v>
      </c>
      <c r="G18" s="25" t="s">
        <v>15</v>
      </c>
      <c r="H18" s="25" t="s">
        <v>94</v>
      </c>
      <c r="I18" s="25" t="s">
        <v>95</v>
      </c>
      <c r="K18" s="25" t="s">
        <v>18</v>
      </c>
      <c r="O18" s="25" t="s">
        <v>19</v>
      </c>
    </row>
    <row r="19" spans="1:15" s="25" customFormat="1">
      <c r="A19" s="25" t="s">
        <v>96</v>
      </c>
      <c r="B19" s="25" t="s">
        <v>13</v>
      </c>
      <c r="E19" s="26">
        <v>44721</v>
      </c>
      <c r="F19" s="25" t="s">
        <v>62</v>
      </c>
      <c r="G19" s="25" t="s">
        <v>97</v>
      </c>
      <c r="H19" s="25" t="s">
        <v>98</v>
      </c>
      <c r="I19" s="25" t="s">
        <v>99</v>
      </c>
      <c r="K19" s="25" t="s">
        <v>18</v>
      </c>
      <c r="O19" s="25" t="s">
        <v>19</v>
      </c>
    </row>
    <row r="20" spans="1:15" s="25" customFormat="1">
      <c r="A20" s="25" t="s">
        <v>100</v>
      </c>
      <c r="B20" s="25" t="s">
        <v>13</v>
      </c>
      <c r="E20" s="26">
        <v>44721</v>
      </c>
      <c r="F20" s="25" t="s">
        <v>82</v>
      </c>
      <c r="G20" s="25" t="s">
        <v>101</v>
      </c>
      <c r="H20" s="25" t="s">
        <v>102</v>
      </c>
      <c r="I20" s="25" t="s">
        <v>103</v>
      </c>
      <c r="K20" s="25" t="s">
        <v>18</v>
      </c>
      <c r="O20" s="25" t="s">
        <v>19</v>
      </c>
    </row>
    <row r="21" spans="1:15" s="25" customFormat="1">
      <c r="A21" s="25" t="s">
        <v>104</v>
      </c>
      <c r="B21" s="25" t="s">
        <v>13</v>
      </c>
      <c r="E21" s="26">
        <v>44840</v>
      </c>
      <c r="F21" s="25" t="s">
        <v>105</v>
      </c>
      <c r="G21" s="25" t="s">
        <v>106</v>
      </c>
      <c r="H21" s="25" t="s">
        <v>107</v>
      </c>
      <c r="I21" s="25" t="s">
        <v>108</v>
      </c>
      <c r="K21" s="25" t="s">
        <v>18</v>
      </c>
      <c r="O21" s="25" t="s">
        <v>19</v>
      </c>
    </row>
    <row r="22" spans="1:15" s="25" customFormat="1">
      <c r="A22" s="25" t="s">
        <v>109</v>
      </c>
      <c r="B22" s="25" t="s">
        <v>13</v>
      </c>
      <c r="E22" s="26">
        <v>44882</v>
      </c>
      <c r="F22" s="25" t="s">
        <v>110</v>
      </c>
      <c r="G22" s="25" t="s">
        <v>111</v>
      </c>
      <c r="H22" s="25" t="s">
        <v>52</v>
      </c>
      <c r="I22" s="25" t="s">
        <v>112</v>
      </c>
      <c r="J22" s="25" t="s">
        <v>113</v>
      </c>
      <c r="K22" s="25" t="s">
        <v>18</v>
      </c>
      <c r="O22" s="25" t="s">
        <v>19</v>
      </c>
    </row>
    <row r="23" spans="1:15" s="25" customFormat="1">
      <c r="A23" s="25" t="s">
        <v>114</v>
      </c>
      <c r="B23" s="25" t="s">
        <v>13</v>
      </c>
      <c r="E23" s="26">
        <v>44931</v>
      </c>
      <c r="F23" s="25" t="s">
        <v>43</v>
      </c>
      <c r="G23" s="25" t="s">
        <v>111</v>
      </c>
      <c r="H23" s="25" t="s">
        <v>115</v>
      </c>
      <c r="I23" s="25" t="s">
        <v>116</v>
      </c>
      <c r="J23" s="25" t="s">
        <v>117</v>
      </c>
      <c r="K23" s="25" t="s">
        <v>18</v>
      </c>
      <c r="O23" s="25" t="s">
        <v>19</v>
      </c>
    </row>
    <row r="24" spans="1:15" s="25" customFormat="1">
      <c r="A24" s="25" t="s">
        <v>118</v>
      </c>
      <c r="B24" s="25" t="s">
        <v>13</v>
      </c>
      <c r="E24" s="26">
        <v>44931</v>
      </c>
      <c r="F24" s="25" t="s">
        <v>119</v>
      </c>
      <c r="G24" s="25" t="s">
        <v>15</v>
      </c>
      <c r="H24" s="25" t="s">
        <v>83</v>
      </c>
      <c r="I24" s="25" t="s">
        <v>108</v>
      </c>
      <c r="J24" s="25" t="s">
        <v>120</v>
      </c>
      <c r="K24" s="25" t="s">
        <v>18</v>
      </c>
      <c r="O24" s="25" t="s">
        <v>19</v>
      </c>
    </row>
    <row r="25" spans="1:15" s="25" customFormat="1">
      <c r="A25" s="25" t="s">
        <v>121</v>
      </c>
      <c r="B25" s="25" t="s">
        <v>13</v>
      </c>
      <c r="E25" s="26">
        <v>44952</v>
      </c>
      <c r="F25" s="25" t="s">
        <v>43</v>
      </c>
      <c r="G25" s="25" t="s">
        <v>15</v>
      </c>
      <c r="H25" s="25" t="s">
        <v>83</v>
      </c>
      <c r="I25" s="25" t="s">
        <v>122</v>
      </c>
      <c r="K25" s="25" t="s">
        <v>123</v>
      </c>
      <c r="O25" s="25" t="s">
        <v>19</v>
      </c>
    </row>
    <row r="26" spans="1:15" s="23" customFormat="1">
      <c r="A26" s="23" t="s">
        <v>124</v>
      </c>
      <c r="B26" s="23" t="s">
        <v>13</v>
      </c>
      <c r="E26" s="24">
        <v>44567</v>
      </c>
      <c r="F26" s="23" t="s">
        <v>125</v>
      </c>
      <c r="G26" s="23" t="s">
        <v>15</v>
      </c>
      <c r="H26" s="23" t="s">
        <v>83</v>
      </c>
      <c r="I26" s="23" t="s">
        <v>126</v>
      </c>
      <c r="K26" s="23" t="s">
        <v>18</v>
      </c>
      <c r="O26" s="23" t="s">
        <v>19</v>
      </c>
    </row>
    <row r="27" spans="1:15" s="23" customFormat="1">
      <c r="A27" s="23" t="s">
        <v>127</v>
      </c>
      <c r="B27" s="23" t="s">
        <v>13</v>
      </c>
      <c r="E27" s="24">
        <v>44567</v>
      </c>
      <c r="F27" s="23" t="s">
        <v>128</v>
      </c>
      <c r="G27" s="23" t="s">
        <v>15</v>
      </c>
      <c r="H27" s="23" t="s">
        <v>83</v>
      </c>
      <c r="I27" s="23" t="s">
        <v>129</v>
      </c>
      <c r="K27" s="23" t="s">
        <v>18</v>
      </c>
      <c r="O27" s="23" t="s">
        <v>19</v>
      </c>
    </row>
    <row r="28" spans="1:15" s="23" customFormat="1">
      <c r="A28" s="23" t="s">
        <v>130</v>
      </c>
      <c r="B28" s="23" t="s">
        <v>13</v>
      </c>
      <c r="E28" s="24">
        <v>44859</v>
      </c>
      <c r="F28" s="23" t="s">
        <v>131</v>
      </c>
      <c r="G28" s="23" t="s">
        <v>15</v>
      </c>
      <c r="H28" s="23" t="s">
        <v>132</v>
      </c>
      <c r="I28" s="23" t="s">
        <v>79</v>
      </c>
      <c r="K28" s="23" t="s">
        <v>18</v>
      </c>
      <c r="O28" s="23" t="s">
        <v>19</v>
      </c>
    </row>
    <row r="29" spans="1:15" s="23" customFormat="1">
      <c r="A29" s="23" t="s">
        <v>133</v>
      </c>
      <c r="B29" s="23" t="s">
        <v>13</v>
      </c>
      <c r="E29" s="24">
        <v>44859</v>
      </c>
      <c r="F29" s="23" t="s">
        <v>131</v>
      </c>
      <c r="G29" s="23" t="s">
        <v>88</v>
      </c>
      <c r="H29" s="23" t="s">
        <v>89</v>
      </c>
      <c r="I29" s="23" t="s">
        <v>79</v>
      </c>
      <c r="K29" s="23" t="s">
        <v>18</v>
      </c>
      <c r="O29" s="23" t="s">
        <v>19</v>
      </c>
    </row>
    <row r="30" spans="1:15" s="23" customFormat="1">
      <c r="A30" s="23" t="s">
        <v>134</v>
      </c>
      <c r="B30" s="23" t="s">
        <v>13</v>
      </c>
      <c r="E30" s="24">
        <v>44860</v>
      </c>
      <c r="F30" s="23" t="s">
        <v>135</v>
      </c>
      <c r="G30" s="23" t="s">
        <v>15</v>
      </c>
      <c r="H30" s="23" t="s">
        <v>83</v>
      </c>
      <c r="I30" s="23" t="s">
        <v>126</v>
      </c>
      <c r="K30" s="23" t="s">
        <v>18</v>
      </c>
      <c r="O30" s="23" t="s">
        <v>19</v>
      </c>
    </row>
    <row r="31" spans="1:15" s="23" customFormat="1">
      <c r="A31" s="23" t="s">
        <v>136</v>
      </c>
      <c r="B31" s="23" t="s">
        <v>13</v>
      </c>
      <c r="E31" s="24">
        <v>44882</v>
      </c>
      <c r="F31" s="23" t="s">
        <v>137</v>
      </c>
      <c r="G31" s="23" t="s">
        <v>15</v>
      </c>
      <c r="H31" s="23" t="s">
        <v>138</v>
      </c>
      <c r="I31" s="23" t="s">
        <v>108</v>
      </c>
      <c r="J31" s="23" t="s">
        <v>139</v>
      </c>
      <c r="K31" s="23" t="s">
        <v>18</v>
      </c>
      <c r="O31" s="23" t="s">
        <v>19</v>
      </c>
    </row>
    <row r="32" spans="1:15" s="23" customFormat="1">
      <c r="A32" s="23" t="s">
        <v>140</v>
      </c>
      <c r="B32" s="23" t="s">
        <v>13</v>
      </c>
      <c r="E32" s="24">
        <v>44987</v>
      </c>
      <c r="F32" s="23" t="s">
        <v>141</v>
      </c>
      <c r="G32" s="23" t="s">
        <v>15</v>
      </c>
      <c r="H32" s="23" t="s">
        <v>142</v>
      </c>
      <c r="I32" s="23" t="s">
        <v>126</v>
      </c>
      <c r="K32" s="23" t="s">
        <v>143</v>
      </c>
      <c r="O32" s="23" t="s">
        <v>19</v>
      </c>
    </row>
    <row r="33" spans="1:15" s="23" customFormat="1">
      <c r="A33" s="23" t="s">
        <v>144</v>
      </c>
      <c r="B33" s="23" t="s">
        <v>13</v>
      </c>
      <c r="E33" s="24">
        <v>44987</v>
      </c>
      <c r="F33" s="23" t="s">
        <v>145</v>
      </c>
      <c r="G33" s="23" t="s">
        <v>15</v>
      </c>
      <c r="H33" s="23" t="s">
        <v>22</v>
      </c>
      <c r="I33" s="23" t="s">
        <v>79</v>
      </c>
      <c r="K33" s="23" t="s">
        <v>143</v>
      </c>
      <c r="O33" s="23" t="s">
        <v>19</v>
      </c>
    </row>
    <row r="34" spans="1:15" s="23" customFormat="1">
      <c r="A34" s="23" t="s">
        <v>146</v>
      </c>
      <c r="B34" s="23" t="s">
        <v>13</v>
      </c>
      <c r="E34" s="24">
        <v>45138</v>
      </c>
      <c r="F34" s="23" t="s">
        <v>21</v>
      </c>
      <c r="G34" s="23" t="s">
        <v>147</v>
      </c>
      <c r="H34" s="23" t="s">
        <v>148</v>
      </c>
      <c r="I34" s="23" t="s">
        <v>149</v>
      </c>
      <c r="J34" s="23" t="s">
        <v>150</v>
      </c>
      <c r="K34" s="23" t="s">
        <v>151</v>
      </c>
      <c r="O34" s="23" t="s">
        <v>19</v>
      </c>
    </row>
    <row r="35" spans="1:15" s="25" customFormat="1">
      <c r="A35" s="25" t="s">
        <v>152</v>
      </c>
      <c r="B35" s="25" t="s">
        <v>13</v>
      </c>
      <c r="E35" s="26">
        <v>44582</v>
      </c>
      <c r="F35" s="25" t="s">
        <v>153</v>
      </c>
      <c r="G35" s="25" t="s">
        <v>154</v>
      </c>
      <c r="H35" s="25" t="s">
        <v>155</v>
      </c>
      <c r="I35" s="25" t="s">
        <v>126</v>
      </c>
      <c r="K35" s="25" t="s">
        <v>18</v>
      </c>
      <c r="O35" s="25" t="s">
        <v>19</v>
      </c>
    </row>
    <row r="36" spans="1:15" s="25" customFormat="1">
      <c r="A36" s="25" t="s">
        <v>156</v>
      </c>
      <c r="B36" s="25" t="s">
        <v>13</v>
      </c>
      <c r="E36" s="26">
        <v>44582</v>
      </c>
      <c r="F36" s="25" t="s">
        <v>157</v>
      </c>
      <c r="G36" s="25" t="s">
        <v>154</v>
      </c>
      <c r="H36" s="25" t="s">
        <v>155</v>
      </c>
      <c r="I36" s="25" t="s">
        <v>158</v>
      </c>
      <c r="K36" s="25" t="s">
        <v>18</v>
      </c>
      <c r="O36" s="25" t="s">
        <v>19</v>
      </c>
    </row>
    <row r="37" spans="1:15" s="25" customFormat="1">
      <c r="A37" s="25" t="s">
        <v>159</v>
      </c>
      <c r="B37" s="25" t="s">
        <v>13</v>
      </c>
      <c r="E37" s="26">
        <v>45155</v>
      </c>
      <c r="F37" s="25" t="s">
        <v>160</v>
      </c>
      <c r="G37" s="25" t="s">
        <v>154</v>
      </c>
      <c r="H37" s="25" t="s">
        <v>161</v>
      </c>
      <c r="I37" s="25" t="s">
        <v>126</v>
      </c>
      <c r="J37" s="25" t="s">
        <v>162</v>
      </c>
      <c r="K37" s="25" t="s">
        <v>151</v>
      </c>
      <c r="O37" s="25" t="s">
        <v>19</v>
      </c>
    </row>
    <row r="38" spans="1:15" s="25" customFormat="1">
      <c r="A38" s="25" t="s">
        <v>163</v>
      </c>
      <c r="B38" s="25" t="s">
        <v>13</v>
      </c>
      <c r="E38" s="26">
        <v>45246</v>
      </c>
      <c r="F38" s="25" t="s">
        <v>164</v>
      </c>
      <c r="G38" s="25" t="s">
        <v>154</v>
      </c>
      <c r="H38" s="25" t="s">
        <v>161</v>
      </c>
      <c r="I38" s="25" t="s">
        <v>165</v>
      </c>
      <c r="J38" s="25" t="s">
        <v>166</v>
      </c>
      <c r="K38" s="25" t="s">
        <v>167</v>
      </c>
      <c r="O38" s="25" t="s">
        <v>19</v>
      </c>
    </row>
    <row r="39" spans="1:15" s="25" customFormat="1">
      <c r="A39" s="25" t="s">
        <v>168</v>
      </c>
      <c r="B39" s="25" t="s">
        <v>13</v>
      </c>
      <c r="E39" s="26">
        <v>45344</v>
      </c>
      <c r="F39" s="25" t="s">
        <v>169</v>
      </c>
      <c r="G39" s="25" t="s">
        <v>154</v>
      </c>
      <c r="H39" s="25" t="s">
        <v>161</v>
      </c>
      <c r="I39" s="25" t="s">
        <v>170</v>
      </c>
      <c r="J39" s="25" t="s">
        <v>171</v>
      </c>
      <c r="K39" s="25" t="s">
        <v>25</v>
      </c>
      <c r="O39" s="25" t="s">
        <v>19</v>
      </c>
    </row>
    <row r="40" spans="1:15" s="25" customFormat="1">
      <c r="A40" s="25" t="s">
        <v>172</v>
      </c>
      <c r="B40" s="25" t="s">
        <v>13</v>
      </c>
      <c r="E40" s="26">
        <v>45492</v>
      </c>
      <c r="F40" s="25" t="s">
        <v>169</v>
      </c>
      <c r="G40" s="25" t="s">
        <v>154</v>
      </c>
      <c r="H40" s="25" t="s">
        <v>161</v>
      </c>
      <c r="I40" s="25" t="s">
        <v>173</v>
      </c>
      <c r="J40" s="25" t="s">
        <v>174</v>
      </c>
      <c r="K40" s="25" t="s">
        <v>31</v>
      </c>
      <c r="O40" s="25" t="s">
        <v>19</v>
      </c>
    </row>
    <row r="41" spans="1:15" s="25" customFormat="1">
      <c r="A41" s="25" t="s">
        <v>175</v>
      </c>
      <c r="E41" s="26">
        <v>45603</v>
      </c>
      <c r="F41" s="25" t="s">
        <v>176</v>
      </c>
      <c r="G41" s="25" t="s">
        <v>154</v>
      </c>
      <c r="H41" s="25" t="s">
        <v>177</v>
      </c>
      <c r="I41" s="25" t="s">
        <v>173</v>
      </c>
      <c r="J41" s="25" t="s">
        <v>178</v>
      </c>
      <c r="K41" s="25" t="s">
        <v>31</v>
      </c>
      <c r="O41" s="25" t="s">
        <v>19</v>
      </c>
    </row>
    <row r="42" spans="1:15" s="23" customFormat="1">
      <c r="A42" s="23" t="s">
        <v>179</v>
      </c>
      <c r="B42" s="23" t="s">
        <v>13</v>
      </c>
      <c r="E42" s="24">
        <v>44631</v>
      </c>
      <c r="F42" s="23" t="s">
        <v>180</v>
      </c>
      <c r="G42" s="23" t="s">
        <v>15</v>
      </c>
      <c r="H42" s="23" t="s">
        <v>52</v>
      </c>
      <c r="I42" s="23" t="s">
        <v>181</v>
      </c>
      <c r="K42" s="23" t="s">
        <v>80</v>
      </c>
      <c r="O42" s="23" t="s">
        <v>19</v>
      </c>
    </row>
    <row r="43" spans="1:15" s="23" customFormat="1">
      <c r="A43" s="23" t="s">
        <v>182</v>
      </c>
      <c r="B43" s="23" t="s">
        <v>13</v>
      </c>
      <c r="E43" s="24">
        <v>44813</v>
      </c>
      <c r="F43" s="23" t="s">
        <v>183</v>
      </c>
      <c r="G43" s="23" t="s">
        <v>15</v>
      </c>
      <c r="H43" s="23" t="s">
        <v>184</v>
      </c>
      <c r="I43" s="23" t="s">
        <v>185</v>
      </c>
      <c r="K43" s="23" t="s">
        <v>80</v>
      </c>
      <c r="O43" s="23" t="s">
        <v>19</v>
      </c>
    </row>
    <row r="44" spans="1:15" s="23" customFormat="1">
      <c r="A44" s="23" t="s">
        <v>186</v>
      </c>
      <c r="B44" s="23" t="s">
        <v>13</v>
      </c>
      <c r="E44" s="24">
        <v>45036</v>
      </c>
      <c r="F44" s="23" t="s">
        <v>180</v>
      </c>
      <c r="G44" s="23" t="s">
        <v>15</v>
      </c>
      <c r="H44" s="23" t="s">
        <v>184</v>
      </c>
      <c r="I44" s="23" t="s">
        <v>187</v>
      </c>
      <c r="J44" s="23" t="s">
        <v>188</v>
      </c>
      <c r="K44" s="23" t="s">
        <v>31</v>
      </c>
      <c r="O44" s="23" t="s">
        <v>19</v>
      </c>
    </row>
    <row r="45" spans="1:15" s="23" customFormat="1">
      <c r="A45" s="23" t="s">
        <v>189</v>
      </c>
      <c r="B45" s="23" t="s">
        <v>13</v>
      </c>
      <c r="E45" s="24">
        <v>45100</v>
      </c>
      <c r="F45" s="23" t="s">
        <v>21</v>
      </c>
      <c r="G45" s="23" t="s">
        <v>190</v>
      </c>
      <c r="H45" s="23" t="s">
        <v>89</v>
      </c>
      <c r="I45" s="23" t="s">
        <v>191</v>
      </c>
      <c r="J45" s="23" t="s">
        <v>192</v>
      </c>
      <c r="K45" s="23" t="s">
        <v>85</v>
      </c>
      <c r="O45" s="23" t="s">
        <v>19</v>
      </c>
    </row>
    <row r="46" spans="1:15" s="23" customFormat="1">
      <c r="A46" s="23" t="s">
        <v>193</v>
      </c>
      <c r="B46" s="23" t="s">
        <v>13</v>
      </c>
      <c r="E46" s="24">
        <v>45372</v>
      </c>
      <c r="F46" s="23" t="s">
        <v>194</v>
      </c>
      <c r="G46" s="23" t="s">
        <v>190</v>
      </c>
      <c r="H46" s="23" t="s">
        <v>89</v>
      </c>
      <c r="I46" s="23" t="s">
        <v>195</v>
      </c>
      <c r="J46" s="23" t="s">
        <v>196</v>
      </c>
      <c r="K46" s="23" t="s">
        <v>197</v>
      </c>
      <c r="O46" s="23" t="s">
        <v>19</v>
      </c>
    </row>
    <row r="47" spans="1:15" s="23" customFormat="1">
      <c r="A47" s="23" t="s">
        <v>198</v>
      </c>
      <c r="B47" s="23" t="s">
        <v>13</v>
      </c>
      <c r="E47" s="24">
        <v>45547</v>
      </c>
      <c r="F47" s="23" t="s">
        <v>169</v>
      </c>
      <c r="G47" s="23" t="s">
        <v>190</v>
      </c>
      <c r="H47" s="23" t="s">
        <v>89</v>
      </c>
      <c r="I47" s="23" t="s">
        <v>199</v>
      </c>
      <c r="J47" s="23" t="s">
        <v>200</v>
      </c>
      <c r="K47" s="23" t="s">
        <v>201</v>
      </c>
      <c r="O47" s="23" t="s">
        <v>19</v>
      </c>
    </row>
    <row r="48" spans="1:15" s="23" customFormat="1">
      <c r="A48" s="23" t="s">
        <v>202</v>
      </c>
      <c r="B48" s="23" t="s">
        <v>13</v>
      </c>
      <c r="E48" s="24">
        <v>45547</v>
      </c>
      <c r="F48" s="23" t="s">
        <v>203</v>
      </c>
      <c r="G48" s="23" t="s">
        <v>190</v>
      </c>
      <c r="H48" s="23" t="s">
        <v>89</v>
      </c>
      <c r="I48" s="23" t="s">
        <v>204</v>
      </c>
      <c r="J48" s="23" t="s">
        <v>205</v>
      </c>
      <c r="K48" s="23" t="s">
        <v>201</v>
      </c>
      <c r="O48" s="23" t="s">
        <v>19</v>
      </c>
    </row>
    <row r="49" spans="1:15" s="25" customFormat="1">
      <c r="A49" s="25" t="s">
        <v>206</v>
      </c>
      <c r="B49" s="25" t="s">
        <v>13</v>
      </c>
      <c r="C49" s="25" t="s">
        <v>13</v>
      </c>
      <c r="D49" s="25" t="s">
        <v>13</v>
      </c>
      <c r="E49" s="26">
        <v>44651</v>
      </c>
      <c r="F49" s="25" t="s">
        <v>207</v>
      </c>
      <c r="G49" s="25" t="s">
        <v>208</v>
      </c>
      <c r="H49" s="25" t="s">
        <v>209</v>
      </c>
      <c r="I49" s="25" t="s">
        <v>210</v>
      </c>
      <c r="J49" s="25" t="s">
        <v>211</v>
      </c>
      <c r="K49" s="25" t="s">
        <v>18</v>
      </c>
      <c r="O49" s="25" t="s">
        <v>19</v>
      </c>
    </row>
    <row r="50" spans="1:15" s="25" customFormat="1">
      <c r="A50" s="25" t="s">
        <v>212</v>
      </c>
      <c r="B50" s="25" t="s">
        <v>13</v>
      </c>
      <c r="E50" s="26">
        <v>45100</v>
      </c>
      <c r="F50" s="25" t="s">
        <v>213</v>
      </c>
      <c r="G50" s="25" t="s">
        <v>190</v>
      </c>
      <c r="H50" s="25" t="s">
        <v>89</v>
      </c>
      <c r="I50" s="25" t="s">
        <v>79</v>
      </c>
      <c r="J50" s="25" t="s">
        <v>214</v>
      </c>
      <c r="K50" s="25" t="s">
        <v>85</v>
      </c>
      <c r="O50" s="25" t="s">
        <v>19</v>
      </c>
    </row>
    <row r="51" spans="1:15" s="23" customFormat="1">
      <c r="A51" s="23" t="s">
        <v>215</v>
      </c>
      <c r="B51" s="23" t="s">
        <v>13</v>
      </c>
      <c r="C51" s="23" t="s">
        <v>13</v>
      </c>
      <c r="D51" s="23" t="s">
        <v>13</v>
      </c>
      <c r="E51" s="24">
        <v>44713</v>
      </c>
      <c r="F51" s="23" t="s">
        <v>169</v>
      </c>
      <c r="G51" s="23" t="s">
        <v>216</v>
      </c>
      <c r="H51" s="23" t="s">
        <v>83</v>
      </c>
      <c r="I51" s="23" t="s">
        <v>217</v>
      </c>
      <c r="J51" s="23" t="s">
        <v>218</v>
      </c>
      <c r="K51" s="23" t="s">
        <v>18</v>
      </c>
      <c r="O51" s="23" t="s">
        <v>19</v>
      </c>
    </row>
    <row r="52" spans="1:15" s="23" customFormat="1">
      <c r="A52" s="23" t="s">
        <v>219</v>
      </c>
      <c r="B52" s="23" t="s">
        <v>13</v>
      </c>
      <c r="E52" s="24">
        <v>44713</v>
      </c>
      <c r="F52" s="23" t="s">
        <v>220</v>
      </c>
      <c r="G52" s="23" t="s">
        <v>221</v>
      </c>
      <c r="H52" s="23" t="s">
        <v>222</v>
      </c>
      <c r="I52" s="23" t="s">
        <v>112</v>
      </c>
      <c r="J52" s="23" t="s">
        <v>223</v>
      </c>
      <c r="K52" s="23" t="s">
        <v>18</v>
      </c>
      <c r="O52" s="23" t="s">
        <v>19</v>
      </c>
    </row>
    <row r="53" spans="1:15" s="23" customFormat="1">
      <c r="A53" s="23" t="s">
        <v>224</v>
      </c>
      <c r="B53" s="23" t="s">
        <v>13</v>
      </c>
      <c r="D53" s="23" t="s">
        <v>13</v>
      </c>
      <c r="E53" s="24">
        <v>44714</v>
      </c>
      <c r="F53" s="23" t="s">
        <v>225</v>
      </c>
      <c r="G53" s="23" t="s">
        <v>216</v>
      </c>
      <c r="H53" s="23" t="s">
        <v>83</v>
      </c>
      <c r="I53" s="23" t="s">
        <v>226</v>
      </c>
      <c r="J53" s="23" t="s">
        <v>218</v>
      </c>
      <c r="K53" s="23" t="s">
        <v>18</v>
      </c>
      <c r="O53" s="23" t="s">
        <v>19</v>
      </c>
    </row>
    <row r="54" spans="1:15" s="23" customFormat="1">
      <c r="A54" s="23" t="s">
        <v>227</v>
      </c>
      <c r="B54" s="23" t="s">
        <v>13</v>
      </c>
      <c r="D54" s="23" t="s">
        <v>13</v>
      </c>
      <c r="E54" s="24">
        <v>44714</v>
      </c>
      <c r="F54" s="23" t="s">
        <v>228</v>
      </c>
      <c r="G54" s="23" t="s">
        <v>63</v>
      </c>
      <c r="H54" s="23" t="s">
        <v>229</v>
      </c>
      <c r="I54" s="23" t="s">
        <v>230</v>
      </c>
      <c r="J54" s="23" t="s">
        <v>218</v>
      </c>
      <c r="K54" s="23" t="s">
        <v>18</v>
      </c>
      <c r="O54" s="23" t="s">
        <v>19</v>
      </c>
    </row>
    <row r="55" spans="1:15" s="25" customFormat="1">
      <c r="A55" s="25" t="s">
        <v>231</v>
      </c>
      <c r="B55" s="25" t="s">
        <v>13</v>
      </c>
      <c r="E55" s="26">
        <v>44812</v>
      </c>
      <c r="F55" s="25" t="s">
        <v>232</v>
      </c>
      <c r="G55" s="25" t="s">
        <v>15</v>
      </c>
      <c r="H55" s="25" t="s">
        <v>233</v>
      </c>
      <c r="I55" s="25" t="s">
        <v>234</v>
      </c>
      <c r="K55" s="25" t="s">
        <v>80</v>
      </c>
      <c r="O55" s="25" t="s">
        <v>19</v>
      </c>
    </row>
    <row r="56" spans="1:15" s="25" customFormat="1">
      <c r="A56" s="25" t="s">
        <v>235</v>
      </c>
      <c r="B56" s="25" t="s">
        <v>13</v>
      </c>
      <c r="E56" s="26">
        <v>45190</v>
      </c>
      <c r="F56" s="25" t="s">
        <v>236</v>
      </c>
      <c r="G56" s="25" t="s">
        <v>237</v>
      </c>
      <c r="H56" s="25" t="s">
        <v>238</v>
      </c>
      <c r="I56" s="25" t="s">
        <v>239</v>
      </c>
      <c r="J56" s="25" t="s">
        <v>240</v>
      </c>
      <c r="K56" s="25" t="s">
        <v>151</v>
      </c>
      <c r="O56" s="25" t="s">
        <v>19</v>
      </c>
    </row>
    <row r="57" spans="1:15" s="25" customFormat="1">
      <c r="A57" s="25" t="s">
        <v>241</v>
      </c>
      <c r="B57" s="25" t="s">
        <v>13</v>
      </c>
      <c r="E57" s="26">
        <v>45323</v>
      </c>
      <c r="F57" s="25" t="s">
        <v>27</v>
      </c>
      <c r="G57" s="25" t="s">
        <v>15</v>
      </c>
      <c r="H57" s="25" t="s">
        <v>242</v>
      </c>
      <c r="I57" s="25" t="s">
        <v>34</v>
      </c>
      <c r="J57" s="25" t="s">
        <v>243</v>
      </c>
      <c r="K57" s="25" t="s">
        <v>31</v>
      </c>
      <c r="O57" s="25" t="s">
        <v>19</v>
      </c>
    </row>
    <row r="58" spans="1:15" s="25" customFormat="1">
      <c r="A58" s="25" t="s">
        <v>244</v>
      </c>
      <c r="E58" s="26">
        <v>45611</v>
      </c>
      <c r="F58" s="25" t="s">
        <v>245</v>
      </c>
      <c r="G58" s="25" t="s">
        <v>246</v>
      </c>
      <c r="H58" s="25" t="s">
        <v>89</v>
      </c>
      <c r="I58" s="25" t="s">
        <v>247</v>
      </c>
      <c r="J58" s="25" t="s">
        <v>178</v>
      </c>
      <c r="K58" s="25" t="s">
        <v>248</v>
      </c>
      <c r="O58" s="25" t="s">
        <v>19</v>
      </c>
    </row>
    <row r="59" spans="1:15" s="23" customFormat="1">
      <c r="A59" s="23" t="s">
        <v>249</v>
      </c>
      <c r="B59" s="23" t="s">
        <v>13</v>
      </c>
      <c r="E59" s="24">
        <v>44883</v>
      </c>
      <c r="F59" s="23" t="s">
        <v>250</v>
      </c>
      <c r="G59" s="23" t="s">
        <v>15</v>
      </c>
      <c r="H59" s="23" t="s">
        <v>83</v>
      </c>
      <c r="I59" s="23" t="s">
        <v>234</v>
      </c>
      <c r="J59" s="23" t="s">
        <v>251</v>
      </c>
      <c r="K59" s="23" t="s">
        <v>18</v>
      </c>
      <c r="O59" s="23" t="s">
        <v>19</v>
      </c>
    </row>
    <row r="60" spans="1:15" s="25" customFormat="1">
      <c r="A60" s="25" t="s">
        <v>252</v>
      </c>
      <c r="B60" s="25" t="s">
        <v>13</v>
      </c>
      <c r="E60" s="26">
        <v>44896</v>
      </c>
      <c r="F60" s="25" t="s">
        <v>169</v>
      </c>
      <c r="G60" s="25" t="s">
        <v>15</v>
      </c>
      <c r="H60" s="25" t="s">
        <v>253</v>
      </c>
      <c r="I60" s="25" t="s">
        <v>254</v>
      </c>
      <c r="J60" s="25" t="s">
        <v>255</v>
      </c>
      <c r="K60" s="25" t="s">
        <v>18</v>
      </c>
      <c r="O60" s="25" t="s">
        <v>19</v>
      </c>
    </row>
    <row r="61" spans="1:15" s="25" customFormat="1">
      <c r="A61" s="25" t="s">
        <v>256</v>
      </c>
      <c r="B61" s="25" t="s">
        <v>13</v>
      </c>
      <c r="E61" s="26">
        <v>45134</v>
      </c>
      <c r="F61" s="25" t="s">
        <v>257</v>
      </c>
      <c r="G61" s="25" t="s">
        <v>15</v>
      </c>
      <c r="H61" s="25" t="s">
        <v>253</v>
      </c>
      <c r="I61" s="25" t="s">
        <v>258</v>
      </c>
      <c r="J61" s="25" t="s">
        <v>259</v>
      </c>
      <c r="K61" s="25" t="s">
        <v>260</v>
      </c>
      <c r="O61" s="25" t="s">
        <v>19</v>
      </c>
    </row>
    <row r="62" spans="1:15" s="25" customFormat="1">
      <c r="A62" s="25" t="s">
        <v>261</v>
      </c>
      <c r="B62" s="25" t="s">
        <v>13</v>
      </c>
      <c r="E62" s="26">
        <v>45134</v>
      </c>
      <c r="F62" s="25" t="s">
        <v>48</v>
      </c>
      <c r="G62" s="25" t="s">
        <v>15</v>
      </c>
      <c r="H62" s="25" t="s">
        <v>83</v>
      </c>
      <c r="I62" s="25" t="s">
        <v>262</v>
      </c>
      <c r="J62" s="25" t="s">
        <v>263</v>
      </c>
      <c r="K62" s="25" t="s">
        <v>31</v>
      </c>
      <c r="O62" s="25" t="s">
        <v>19</v>
      </c>
    </row>
    <row r="63" spans="1:15" s="25" customFormat="1">
      <c r="A63" s="25" t="s">
        <v>264</v>
      </c>
      <c r="B63" s="25" t="s">
        <v>13</v>
      </c>
      <c r="E63" s="26">
        <v>45226</v>
      </c>
      <c r="F63" s="25" t="s">
        <v>194</v>
      </c>
      <c r="G63" s="25" t="s">
        <v>15</v>
      </c>
      <c r="H63" s="25" t="s">
        <v>265</v>
      </c>
      <c r="I63" s="25" t="s">
        <v>266</v>
      </c>
      <c r="J63" s="25" t="s">
        <v>267</v>
      </c>
      <c r="K63" s="25" t="s">
        <v>25</v>
      </c>
      <c r="O63" s="25" t="s">
        <v>19</v>
      </c>
    </row>
    <row r="64" spans="1:15" s="25" customFormat="1">
      <c r="A64" s="25" t="s">
        <v>268</v>
      </c>
      <c r="E64" s="26">
        <v>45575</v>
      </c>
      <c r="F64" s="25" t="s">
        <v>169</v>
      </c>
      <c r="G64" s="25" t="s">
        <v>15</v>
      </c>
      <c r="H64" s="25" t="s">
        <v>269</v>
      </c>
      <c r="I64" s="25" t="s">
        <v>247</v>
      </c>
      <c r="J64" s="25" t="s">
        <v>270</v>
      </c>
      <c r="K64" s="25" t="s">
        <v>31</v>
      </c>
      <c r="O64" s="25" t="s">
        <v>19</v>
      </c>
    </row>
    <row r="65" spans="1:18" s="25" customFormat="1">
      <c r="A65" s="25" t="s">
        <v>271</v>
      </c>
      <c r="E65" s="26">
        <v>45575</v>
      </c>
      <c r="F65" s="25" t="s">
        <v>272</v>
      </c>
      <c r="G65" s="25" t="s">
        <v>15</v>
      </c>
      <c r="H65" s="25" t="s">
        <v>273</v>
      </c>
      <c r="I65" s="25" t="s">
        <v>274</v>
      </c>
      <c r="J65" s="25" t="s">
        <v>275</v>
      </c>
      <c r="K65" s="25" t="s">
        <v>31</v>
      </c>
      <c r="O65" s="25" t="s">
        <v>19</v>
      </c>
    </row>
    <row r="66" spans="1:18" s="25" customFormat="1">
      <c r="A66" s="25" t="s">
        <v>276</v>
      </c>
      <c r="E66" s="26">
        <v>45673</v>
      </c>
      <c r="F66" s="25" t="s">
        <v>169</v>
      </c>
      <c r="G66" s="25" t="s">
        <v>15</v>
      </c>
      <c r="H66" s="25" t="s">
        <v>277</v>
      </c>
      <c r="I66" s="25" t="s">
        <v>247</v>
      </c>
      <c r="J66" s="25" t="s">
        <v>278</v>
      </c>
      <c r="K66" s="25" t="s">
        <v>279</v>
      </c>
      <c r="O66" s="25" t="s">
        <v>19</v>
      </c>
    </row>
    <row r="67" spans="1:18" s="25" customFormat="1">
      <c r="A67" s="25" t="s">
        <v>280</v>
      </c>
      <c r="E67" s="26">
        <v>45673</v>
      </c>
      <c r="F67" s="25" t="s">
        <v>281</v>
      </c>
      <c r="G67" s="25" t="s">
        <v>15</v>
      </c>
      <c r="H67" s="25" t="s">
        <v>282</v>
      </c>
      <c r="I67" s="25" t="s">
        <v>247</v>
      </c>
      <c r="J67" s="25" t="s">
        <v>283</v>
      </c>
      <c r="K67" s="25" t="s">
        <v>279</v>
      </c>
      <c r="O67" s="25" t="s">
        <v>19</v>
      </c>
    </row>
    <row r="68" spans="1:18" s="23" customFormat="1">
      <c r="A68" s="23" t="s">
        <v>284</v>
      </c>
      <c r="B68" s="23" t="s">
        <v>13</v>
      </c>
      <c r="E68" s="24">
        <v>44896</v>
      </c>
      <c r="F68" s="23" t="s">
        <v>285</v>
      </c>
      <c r="G68" s="23" t="s">
        <v>15</v>
      </c>
      <c r="H68" s="23" t="s">
        <v>253</v>
      </c>
      <c r="I68" s="23" t="s">
        <v>286</v>
      </c>
      <c r="J68" s="23" t="s">
        <v>287</v>
      </c>
      <c r="K68" s="23" t="s">
        <v>18</v>
      </c>
      <c r="O68" s="23" t="s">
        <v>19</v>
      </c>
    </row>
    <row r="69" spans="1:18" s="23" customFormat="1">
      <c r="A69" s="23" t="s">
        <v>288</v>
      </c>
      <c r="B69" s="23" t="s">
        <v>13</v>
      </c>
      <c r="E69" s="24">
        <v>44896</v>
      </c>
      <c r="F69" s="23" t="s">
        <v>289</v>
      </c>
      <c r="G69" s="23" t="s">
        <v>15</v>
      </c>
      <c r="H69" s="23" t="s">
        <v>253</v>
      </c>
      <c r="I69" s="23" t="s">
        <v>290</v>
      </c>
      <c r="J69" s="23" t="s">
        <v>291</v>
      </c>
      <c r="K69" s="23" t="s">
        <v>18</v>
      </c>
      <c r="O69" s="23" t="s">
        <v>19</v>
      </c>
    </row>
    <row r="70" spans="1:18" s="23" customFormat="1">
      <c r="A70" s="23" t="s">
        <v>292</v>
      </c>
      <c r="E70" s="24">
        <v>45575</v>
      </c>
      <c r="F70" s="23" t="s">
        <v>293</v>
      </c>
      <c r="G70" s="23" t="s">
        <v>294</v>
      </c>
      <c r="H70" s="23" t="s">
        <v>142</v>
      </c>
      <c r="I70" s="23" t="s">
        <v>295</v>
      </c>
      <c r="J70" s="23" t="s">
        <v>296</v>
      </c>
      <c r="K70" s="23" t="s">
        <v>31</v>
      </c>
      <c r="O70" s="23" t="s">
        <v>19</v>
      </c>
    </row>
    <row r="71" spans="1:18" s="23" customFormat="1">
      <c r="A71" s="23" t="s">
        <v>297</v>
      </c>
      <c r="E71" s="24">
        <v>45575</v>
      </c>
      <c r="F71" s="23" t="s">
        <v>298</v>
      </c>
      <c r="G71" s="23" t="s">
        <v>15</v>
      </c>
      <c r="H71" s="23" t="s">
        <v>299</v>
      </c>
      <c r="I71" s="23" t="s">
        <v>300</v>
      </c>
      <c r="J71" s="23" t="s">
        <v>178</v>
      </c>
      <c r="K71" s="23" t="s">
        <v>31</v>
      </c>
      <c r="O71" s="23" t="s">
        <v>19</v>
      </c>
    </row>
    <row r="72" spans="1:18" s="23" customFormat="1">
      <c r="A72" s="23" t="s">
        <v>301</v>
      </c>
      <c r="E72" s="24">
        <v>45575</v>
      </c>
      <c r="F72" s="23" t="s">
        <v>302</v>
      </c>
      <c r="G72" s="23" t="s">
        <v>15</v>
      </c>
      <c r="H72" s="23" t="s">
        <v>303</v>
      </c>
      <c r="I72" s="23" t="s">
        <v>247</v>
      </c>
      <c r="J72" s="23" t="s">
        <v>178</v>
      </c>
      <c r="K72" s="23" t="s">
        <v>31</v>
      </c>
      <c r="O72" s="23" t="s">
        <v>19</v>
      </c>
    </row>
    <row r="73" spans="1:18" s="23" customFormat="1">
      <c r="A73" s="23" t="s">
        <v>304</v>
      </c>
      <c r="B73" s="23" t="s">
        <v>13</v>
      </c>
      <c r="E73" s="24">
        <v>45729</v>
      </c>
      <c r="F73" s="23" t="s">
        <v>305</v>
      </c>
      <c r="G73" s="23" t="s">
        <v>15</v>
      </c>
      <c r="H73" s="23" t="s">
        <v>306</v>
      </c>
      <c r="I73" s="23" t="s">
        <v>307</v>
      </c>
      <c r="J73" s="23" t="s">
        <v>308</v>
      </c>
      <c r="O73" s="23" t="s">
        <v>19</v>
      </c>
    </row>
    <row r="74" spans="1:18" s="23" customFormat="1">
      <c r="A74" s="23" t="s">
        <v>309</v>
      </c>
      <c r="B74" s="23" t="s">
        <v>13</v>
      </c>
      <c r="E74" s="24">
        <v>45729</v>
      </c>
      <c r="F74" s="23" t="s">
        <v>57</v>
      </c>
      <c r="G74" s="23" t="s">
        <v>15</v>
      </c>
      <c r="H74" s="23" t="s">
        <v>306</v>
      </c>
      <c r="I74" s="23" t="s">
        <v>310</v>
      </c>
      <c r="J74" s="23" t="s">
        <v>311</v>
      </c>
      <c r="O74" s="23" t="s">
        <v>19</v>
      </c>
    </row>
    <row r="75" spans="1:18" s="25" customFormat="1">
      <c r="A75" s="25" t="s">
        <v>312</v>
      </c>
      <c r="B75" s="25" t="s">
        <v>13</v>
      </c>
      <c r="E75" s="26">
        <v>45008</v>
      </c>
      <c r="F75" s="25" t="s">
        <v>21</v>
      </c>
      <c r="G75" s="25" t="s">
        <v>154</v>
      </c>
      <c r="H75" s="25" t="s">
        <v>313</v>
      </c>
      <c r="I75" s="25" t="s">
        <v>185</v>
      </c>
      <c r="J75" s="25" t="s">
        <v>314</v>
      </c>
      <c r="K75" s="25" t="s">
        <v>31</v>
      </c>
      <c r="O75" s="25" t="s">
        <v>19</v>
      </c>
    </row>
    <row r="76" spans="1:18" s="25" customFormat="1">
      <c r="A76" s="25" t="s">
        <v>315</v>
      </c>
      <c r="B76" s="25" t="s">
        <v>13</v>
      </c>
      <c r="E76" s="26">
        <v>45197</v>
      </c>
      <c r="F76" s="25" t="s">
        <v>316</v>
      </c>
      <c r="G76" s="25" t="s">
        <v>154</v>
      </c>
      <c r="H76" s="25" t="s">
        <v>317</v>
      </c>
      <c r="I76" s="25" t="s">
        <v>318</v>
      </c>
      <c r="J76" s="25" t="s">
        <v>319</v>
      </c>
      <c r="K76" s="25" t="s">
        <v>260</v>
      </c>
      <c r="O76" s="25" t="s">
        <v>19</v>
      </c>
    </row>
    <row r="77" spans="1:18" s="25" customFormat="1">
      <c r="A77" s="25" t="s">
        <v>320</v>
      </c>
      <c r="B77" s="25" t="s">
        <v>13</v>
      </c>
      <c r="E77" s="26">
        <v>45401</v>
      </c>
      <c r="F77" s="25" t="s">
        <v>321</v>
      </c>
      <c r="G77" s="25" t="s">
        <v>322</v>
      </c>
      <c r="I77" s="25" t="s">
        <v>266</v>
      </c>
      <c r="J77" s="25" t="s">
        <v>323</v>
      </c>
      <c r="K77" s="25" t="s">
        <v>31</v>
      </c>
      <c r="O77" s="25" t="s">
        <v>19</v>
      </c>
    </row>
    <row r="78" spans="1:18" s="25" customFormat="1">
      <c r="A78" s="25" t="s">
        <v>324</v>
      </c>
      <c r="E78" s="26">
        <v>45401</v>
      </c>
      <c r="F78" s="25" t="s">
        <v>325</v>
      </c>
      <c r="G78" s="25" t="s">
        <v>326</v>
      </c>
      <c r="I78" s="25" t="s">
        <v>327</v>
      </c>
      <c r="J78" s="25" t="s">
        <v>328</v>
      </c>
      <c r="K78" s="25" t="s">
        <v>31</v>
      </c>
      <c r="O78" s="25" t="s">
        <v>19</v>
      </c>
    </row>
    <row r="79" spans="1:18" s="23" customFormat="1">
      <c r="A79" s="23" t="s">
        <v>329</v>
      </c>
      <c r="B79" s="23" t="s">
        <v>13</v>
      </c>
      <c r="E79" s="24">
        <v>45015</v>
      </c>
      <c r="F79" s="23" t="s">
        <v>330</v>
      </c>
      <c r="G79" s="23" t="s">
        <v>15</v>
      </c>
      <c r="H79" s="23" t="s">
        <v>331</v>
      </c>
      <c r="I79" s="23" t="s">
        <v>332</v>
      </c>
      <c r="J79" s="23" t="s">
        <v>333</v>
      </c>
      <c r="K79" s="23" t="s">
        <v>31</v>
      </c>
      <c r="O79" s="23" t="s">
        <v>19</v>
      </c>
    </row>
    <row r="80" spans="1:18" s="23" customFormat="1">
      <c r="A80" s="23" t="s">
        <v>334</v>
      </c>
      <c r="B80" s="23" t="s">
        <v>13</v>
      </c>
      <c r="E80" s="24">
        <v>45100</v>
      </c>
      <c r="F80" s="23" t="s">
        <v>335</v>
      </c>
      <c r="G80" s="23" t="s">
        <v>15</v>
      </c>
      <c r="H80" s="23" t="s">
        <v>52</v>
      </c>
      <c r="I80" s="23" t="s">
        <v>336</v>
      </c>
      <c r="J80" s="23" t="s">
        <v>337</v>
      </c>
      <c r="K80" s="23" t="s">
        <v>31</v>
      </c>
      <c r="O80" s="23" t="s">
        <v>19</v>
      </c>
      <c r="P80" s="23" t="s">
        <v>338</v>
      </c>
      <c r="Q80" s="23" t="s">
        <v>339</v>
      </c>
      <c r="R80" s="23" t="s">
        <v>340</v>
      </c>
    </row>
    <row r="81" spans="1:18" s="23" customFormat="1">
      <c r="A81" s="23" t="s">
        <v>341</v>
      </c>
      <c r="B81" s="23" t="s">
        <v>13</v>
      </c>
      <c r="E81" s="24">
        <v>45401</v>
      </c>
      <c r="F81" s="23" t="s">
        <v>330</v>
      </c>
      <c r="G81" s="23" t="s">
        <v>15</v>
      </c>
      <c r="H81" s="23" t="s">
        <v>342</v>
      </c>
      <c r="I81" s="23" t="s">
        <v>343</v>
      </c>
      <c r="J81" s="23" t="s">
        <v>344</v>
      </c>
      <c r="K81" s="23" t="s">
        <v>31</v>
      </c>
      <c r="O81" s="23" t="s">
        <v>19</v>
      </c>
    </row>
    <row r="82" spans="1:18" s="23" customFormat="1">
      <c r="A82" s="23" t="s">
        <v>345</v>
      </c>
      <c r="B82" s="23" t="s">
        <v>13</v>
      </c>
      <c r="E82" s="24">
        <v>45401</v>
      </c>
      <c r="F82" s="23" t="s">
        <v>346</v>
      </c>
      <c r="G82" s="23" t="s">
        <v>15</v>
      </c>
      <c r="H82" s="23" t="s">
        <v>342</v>
      </c>
      <c r="I82" s="23" t="s">
        <v>266</v>
      </c>
      <c r="J82" s="23" t="s">
        <v>347</v>
      </c>
      <c r="K82" s="23" t="s">
        <v>31</v>
      </c>
      <c r="O82" s="23" t="s">
        <v>19</v>
      </c>
    </row>
    <row r="83" spans="1:18" s="25" customFormat="1">
      <c r="A83" s="25" t="s">
        <v>348</v>
      </c>
      <c r="B83" s="25" t="s">
        <v>13</v>
      </c>
      <c r="E83" s="26">
        <v>45085</v>
      </c>
      <c r="F83" s="25" t="s">
        <v>257</v>
      </c>
      <c r="G83" s="25" t="s">
        <v>15</v>
      </c>
      <c r="H83" s="25" t="s">
        <v>331</v>
      </c>
      <c r="I83" s="25" t="s">
        <v>349</v>
      </c>
      <c r="J83" s="25" t="s">
        <v>350</v>
      </c>
      <c r="K83" s="25" t="s">
        <v>31</v>
      </c>
      <c r="O83" s="25" t="s">
        <v>351</v>
      </c>
    </row>
    <row r="84" spans="1:18" s="25" customFormat="1">
      <c r="A84" s="25" t="s">
        <v>352</v>
      </c>
      <c r="B84" s="25" t="s">
        <v>13</v>
      </c>
      <c r="E84" s="26">
        <v>45414</v>
      </c>
      <c r="F84" s="25" t="s">
        <v>353</v>
      </c>
      <c r="G84" s="25" t="s">
        <v>322</v>
      </c>
      <c r="I84" s="25" t="s">
        <v>354</v>
      </c>
      <c r="J84" s="25" t="s">
        <v>355</v>
      </c>
      <c r="K84" s="25" t="s">
        <v>31</v>
      </c>
      <c r="O84" s="25" t="s">
        <v>356</v>
      </c>
    </row>
    <row r="85" spans="1:18" s="25" customFormat="1">
      <c r="A85" s="25" t="s">
        <v>357</v>
      </c>
      <c r="B85" s="25" t="s">
        <v>13</v>
      </c>
      <c r="E85" s="26">
        <v>45701</v>
      </c>
      <c r="F85" s="25" t="s">
        <v>257</v>
      </c>
      <c r="G85" s="25" t="s">
        <v>15</v>
      </c>
      <c r="H85" s="25" t="s">
        <v>331</v>
      </c>
      <c r="I85" s="25" t="s">
        <v>358</v>
      </c>
      <c r="J85" s="25" t="s">
        <v>359</v>
      </c>
      <c r="K85" s="25" t="s">
        <v>360</v>
      </c>
      <c r="O85" s="25" t="s">
        <v>19</v>
      </c>
    </row>
    <row r="86" spans="1:18" s="23" customFormat="1">
      <c r="A86" s="23" t="s">
        <v>361</v>
      </c>
      <c r="B86" s="23" t="s">
        <v>13</v>
      </c>
      <c r="E86" s="24">
        <v>45100</v>
      </c>
      <c r="F86" s="23" t="s">
        <v>257</v>
      </c>
      <c r="G86" s="23" t="s">
        <v>88</v>
      </c>
      <c r="H86" s="23" t="s">
        <v>89</v>
      </c>
      <c r="I86" s="23" t="s">
        <v>187</v>
      </c>
      <c r="J86" s="23" t="s">
        <v>362</v>
      </c>
      <c r="K86" s="23" t="s">
        <v>197</v>
      </c>
      <c r="O86" s="23" t="s">
        <v>19</v>
      </c>
      <c r="R86" s="23" t="s">
        <v>363</v>
      </c>
    </row>
    <row r="87" spans="1:18" s="23" customFormat="1">
      <c r="A87" s="23" t="s">
        <v>364</v>
      </c>
      <c r="E87" s="24">
        <v>45688</v>
      </c>
      <c r="F87" s="23" t="s">
        <v>365</v>
      </c>
      <c r="G87" s="23" t="s">
        <v>322</v>
      </c>
      <c r="H87" s="23" t="s">
        <v>142</v>
      </c>
      <c r="I87" s="23" t="s">
        <v>366</v>
      </c>
      <c r="J87" s="23" t="s">
        <v>367</v>
      </c>
      <c r="K87" s="23" t="s">
        <v>31</v>
      </c>
      <c r="O87" s="23" t="s">
        <v>19</v>
      </c>
    </row>
    <row r="88" spans="1:18" s="25" customFormat="1">
      <c r="A88" s="25" t="s">
        <v>368</v>
      </c>
      <c r="B88" s="25" t="s">
        <v>13</v>
      </c>
      <c r="C88" s="25" t="s">
        <v>13</v>
      </c>
      <c r="D88" s="25" t="s">
        <v>13</v>
      </c>
      <c r="E88" s="26">
        <v>45169</v>
      </c>
      <c r="F88" s="25" t="s">
        <v>369</v>
      </c>
      <c r="G88" s="25" t="s">
        <v>370</v>
      </c>
      <c r="H88" s="25" t="s">
        <v>371</v>
      </c>
      <c r="I88" s="25" t="s">
        <v>372</v>
      </c>
      <c r="J88" s="25" t="s">
        <v>373</v>
      </c>
      <c r="K88" s="25" t="s">
        <v>151</v>
      </c>
      <c r="O88" s="25" t="s">
        <v>19</v>
      </c>
    </row>
    <row r="89" spans="1:18" s="25" customFormat="1">
      <c r="A89" s="25" t="s">
        <v>374</v>
      </c>
      <c r="B89" s="25" t="s">
        <v>13</v>
      </c>
      <c r="E89" s="26">
        <v>45169</v>
      </c>
      <c r="F89" s="25" t="s">
        <v>375</v>
      </c>
      <c r="G89" s="25" t="s">
        <v>154</v>
      </c>
      <c r="H89" s="25" t="s">
        <v>371</v>
      </c>
      <c r="I89" s="25" t="s">
        <v>376</v>
      </c>
      <c r="J89" s="25" t="s">
        <v>377</v>
      </c>
      <c r="K89" s="25" t="s">
        <v>151</v>
      </c>
      <c r="O89" s="25" t="s">
        <v>19</v>
      </c>
    </row>
    <row r="90" spans="1:18" s="25" customFormat="1">
      <c r="A90" s="25" t="s">
        <v>378</v>
      </c>
      <c r="B90" s="25" t="s">
        <v>13</v>
      </c>
      <c r="E90" s="26">
        <v>45386</v>
      </c>
      <c r="F90" s="25" t="s">
        <v>37</v>
      </c>
      <c r="G90" s="25" t="s">
        <v>154</v>
      </c>
      <c r="H90" s="25" t="s">
        <v>379</v>
      </c>
      <c r="I90" s="25" t="s">
        <v>266</v>
      </c>
      <c r="J90" s="25" t="s">
        <v>380</v>
      </c>
      <c r="K90" s="25" t="s">
        <v>31</v>
      </c>
      <c r="O90" s="25" t="s">
        <v>19</v>
      </c>
    </row>
    <row r="91" spans="1:18" s="25" customFormat="1">
      <c r="A91" s="25" t="s">
        <v>381</v>
      </c>
      <c r="B91" s="25" t="s">
        <v>13</v>
      </c>
      <c r="D91" s="25" t="s">
        <v>13</v>
      </c>
      <c r="E91" s="26">
        <v>45428</v>
      </c>
      <c r="F91" s="25" t="s">
        <v>382</v>
      </c>
      <c r="G91" s="25" t="s">
        <v>370</v>
      </c>
      <c r="H91" s="25" t="s">
        <v>371</v>
      </c>
      <c r="I91" s="25" t="s">
        <v>383</v>
      </c>
      <c r="J91" s="25" t="s">
        <v>384</v>
      </c>
      <c r="K91" s="25" t="s">
        <v>31</v>
      </c>
      <c r="O91" s="25" t="s">
        <v>19</v>
      </c>
    </row>
    <row r="92" spans="1:18" s="25" customFormat="1">
      <c r="A92" s="25" t="s">
        <v>385</v>
      </c>
      <c r="B92" s="25" t="s">
        <v>13</v>
      </c>
      <c r="D92" s="25" t="s">
        <v>13</v>
      </c>
      <c r="E92" s="26">
        <v>45428</v>
      </c>
      <c r="F92" s="25" t="s">
        <v>386</v>
      </c>
      <c r="G92" s="25" t="s">
        <v>370</v>
      </c>
      <c r="H92" s="25" t="s">
        <v>371</v>
      </c>
      <c r="I92" s="25" t="s">
        <v>266</v>
      </c>
      <c r="J92" s="25" t="s">
        <v>387</v>
      </c>
      <c r="K92" s="25" t="s">
        <v>31</v>
      </c>
      <c r="O92" s="25" t="s">
        <v>19</v>
      </c>
    </row>
    <row r="93" spans="1:18" s="25" customFormat="1">
      <c r="A93" s="25" t="s">
        <v>388</v>
      </c>
      <c r="B93" s="25" t="s">
        <v>13</v>
      </c>
      <c r="D93" s="25" t="s">
        <v>13</v>
      </c>
      <c r="E93" s="26">
        <v>45484</v>
      </c>
      <c r="F93" s="25" t="s">
        <v>220</v>
      </c>
      <c r="G93" s="25" t="s">
        <v>389</v>
      </c>
      <c r="H93" s="25" t="s">
        <v>390</v>
      </c>
      <c r="I93" s="25" t="s">
        <v>391</v>
      </c>
      <c r="J93" s="25" t="s">
        <v>387</v>
      </c>
      <c r="K93" s="25" t="s">
        <v>31</v>
      </c>
      <c r="O93" s="25" t="s">
        <v>19</v>
      </c>
    </row>
    <row r="94" spans="1:18" s="25" customFormat="1">
      <c r="A94" s="25" t="s">
        <v>392</v>
      </c>
      <c r="B94" s="25" t="s">
        <v>13</v>
      </c>
      <c r="D94" s="25" t="s">
        <v>13</v>
      </c>
      <c r="E94" s="26">
        <v>45484</v>
      </c>
      <c r="F94" s="25" t="s">
        <v>393</v>
      </c>
      <c r="G94" s="25" t="s">
        <v>389</v>
      </c>
      <c r="H94" s="25" t="s">
        <v>390</v>
      </c>
      <c r="I94" s="25" t="s">
        <v>247</v>
      </c>
      <c r="J94" s="25" t="s">
        <v>387</v>
      </c>
      <c r="K94" s="25" t="s">
        <v>31</v>
      </c>
      <c r="O94" s="25" t="s">
        <v>19</v>
      </c>
    </row>
    <row r="95" spans="1:18" s="25" customFormat="1">
      <c r="A95" s="25" t="s">
        <v>394</v>
      </c>
      <c r="B95" s="25" t="s">
        <v>13</v>
      </c>
      <c r="D95" s="25" t="s">
        <v>13</v>
      </c>
      <c r="E95" s="26">
        <v>45554</v>
      </c>
      <c r="F95" s="25" t="s">
        <v>169</v>
      </c>
      <c r="G95" s="25" t="s">
        <v>395</v>
      </c>
      <c r="H95" s="25" t="s">
        <v>396</v>
      </c>
      <c r="I95" s="25" t="s">
        <v>397</v>
      </c>
      <c r="J95" s="25" t="s">
        <v>398</v>
      </c>
      <c r="K95" s="25" t="s">
        <v>31</v>
      </c>
      <c r="O95" s="25" t="s">
        <v>19</v>
      </c>
    </row>
    <row r="96" spans="1:18" s="23" customFormat="1">
      <c r="A96" s="23" t="s">
        <v>399</v>
      </c>
      <c r="B96" s="23" t="s">
        <v>13</v>
      </c>
      <c r="E96" s="24">
        <v>45210</v>
      </c>
      <c r="F96" s="23" t="s">
        <v>194</v>
      </c>
      <c r="G96" s="23" t="s">
        <v>190</v>
      </c>
      <c r="H96" s="23" t="s">
        <v>89</v>
      </c>
      <c r="I96" s="23" t="s">
        <v>266</v>
      </c>
      <c r="J96" s="23" t="s">
        <v>174</v>
      </c>
      <c r="K96" s="23" t="s">
        <v>25</v>
      </c>
      <c r="O96" s="23" t="s">
        <v>19</v>
      </c>
    </row>
    <row r="97" spans="1:15" s="23" customFormat="1">
      <c r="A97" s="23" t="s">
        <v>400</v>
      </c>
      <c r="B97" s="23" t="s">
        <v>13</v>
      </c>
      <c r="E97" s="24">
        <v>45302</v>
      </c>
      <c r="F97" s="23" t="s">
        <v>245</v>
      </c>
      <c r="G97" s="23" t="s">
        <v>15</v>
      </c>
      <c r="H97" s="23" t="s">
        <v>401</v>
      </c>
      <c r="I97" s="23" t="s">
        <v>247</v>
      </c>
      <c r="J97" s="23" t="s">
        <v>402</v>
      </c>
      <c r="K97" s="23" t="s">
        <v>31</v>
      </c>
      <c r="O97" s="23" t="s">
        <v>19</v>
      </c>
    </row>
    <row r="98" spans="1:15" s="23" customFormat="1">
      <c r="A98" s="23" t="s">
        <v>403</v>
      </c>
      <c r="B98" s="23" t="s">
        <v>13</v>
      </c>
      <c r="E98" s="24">
        <v>45302</v>
      </c>
      <c r="F98" s="23" t="s">
        <v>404</v>
      </c>
      <c r="G98" s="23" t="s">
        <v>190</v>
      </c>
      <c r="H98" s="23" t="s">
        <v>89</v>
      </c>
      <c r="I98" s="23" t="s">
        <v>266</v>
      </c>
      <c r="J98" s="23" t="s">
        <v>405</v>
      </c>
      <c r="K98" s="23" t="s">
        <v>31</v>
      </c>
      <c r="O98" s="23" t="s">
        <v>19</v>
      </c>
    </row>
    <row r="99" spans="1:15" s="23" customFormat="1">
      <c r="A99" s="23" t="s">
        <v>406</v>
      </c>
      <c r="B99" s="23" t="s">
        <v>13</v>
      </c>
      <c r="E99" s="24">
        <v>45372</v>
      </c>
      <c r="F99" s="23" t="s">
        <v>407</v>
      </c>
      <c r="G99" s="23" t="s">
        <v>154</v>
      </c>
      <c r="H99" s="23" t="s">
        <v>142</v>
      </c>
      <c r="I99" s="23" t="s">
        <v>247</v>
      </c>
      <c r="J99" s="23" t="s">
        <v>408</v>
      </c>
      <c r="K99" s="23" t="s">
        <v>31</v>
      </c>
      <c r="O99" s="23" t="s">
        <v>19</v>
      </c>
    </row>
    <row r="100" spans="1:15" s="23" customFormat="1">
      <c r="A100" s="23" t="s">
        <v>409</v>
      </c>
      <c r="B100" s="23" t="s">
        <v>13</v>
      </c>
      <c r="E100" s="24">
        <v>45372</v>
      </c>
      <c r="F100" s="23" t="s">
        <v>410</v>
      </c>
      <c r="G100" s="23" t="s">
        <v>237</v>
      </c>
      <c r="H100" s="23" t="s">
        <v>411</v>
      </c>
      <c r="I100" s="23" t="s">
        <v>34</v>
      </c>
      <c r="J100" s="23" t="s">
        <v>412</v>
      </c>
      <c r="K100" s="23" t="s">
        <v>31</v>
      </c>
      <c r="O100" s="23" t="s">
        <v>19</v>
      </c>
    </row>
    <row r="101" spans="1:15" s="23" customFormat="1">
      <c r="A101" s="23" t="s">
        <v>413</v>
      </c>
      <c r="B101" s="23" t="s">
        <v>13</v>
      </c>
      <c r="E101" s="24">
        <v>45372</v>
      </c>
      <c r="F101" s="23" t="s">
        <v>414</v>
      </c>
      <c r="G101" s="23" t="s">
        <v>154</v>
      </c>
      <c r="H101" s="23" t="s">
        <v>415</v>
      </c>
      <c r="I101" s="23" t="s">
        <v>247</v>
      </c>
      <c r="J101" s="23" t="s">
        <v>416</v>
      </c>
      <c r="K101" s="23" t="s">
        <v>31</v>
      </c>
      <c r="O101" s="23" t="s">
        <v>19</v>
      </c>
    </row>
    <row r="102" spans="1:15" s="23" customFormat="1">
      <c r="A102" s="23" t="s">
        <v>417</v>
      </c>
      <c r="B102" s="23" t="s">
        <v>13</v>
      </c>
      <c r="E102" s="24">
        <v>45401</v>
      </c>
      <c r="F102" s="23" t="s">
        <v>169</v>
      </c>
      <c r="G102" s="23" t="s">
        <v>418</v>
      </c>
      <c r="H102" s="23" t="s">
        <v>142</v>
      </c>
      <c r="I102" s="23" t="s">
        <v>266</v>
      </c>
      <c r="J102" s="23" t="s">
        <v>419</v>
      </c>
      <c r="K102" s="23" t="s">
        <v>31</v>
      </c>
      <c r="O102" s="23" t="s">
        <v>19</v>
      </c>
    </row>
    <row r="103" spans="1:15" s="23" customFormat="1">
      <c r="A103" s="23" t="s">
        <v>420</v>
      </c>
      <c r="B103" s="23" t="s">
        <v>13</v>
      </c>
      <c r="E103" s="24">
        <v>45401</v>
      </c>
      <c r="F103" s="23" t="s">
        <v>207</v>
      </c>
      <c r="G103" s="23" t="s">
        <v>154</v>
      </c>
      <c r="H103" s="23" t="s">
        <v>421</v>
      </c>
      <c r="I103" s="23" t="s">
        <v>422</v>
      </c>
      <c r="J103" s="23" t="s">
        <v>423</v>
      </c>
      <c r="K103" s="23" t="s">
        <v>31</v>
      </c>
      <c r="O103" s="23" t="s">
        <v>19</v>
      </c>
    </row>
    <row r="104" spans="1:15" s="23" customFormat="1">
      <c r="A104" s="23" t="s">
        <v>424</v>
      </c>
      <c r="B104" s="23" t="s">
        <v>13</v>
      </c>
      <c r="E104" s="24">
        <v>45401</v>
      </c>
      <c r="F104" s="23" t="s">
        <v>425</v>
      </c>
      <c r="G104" s="23" t="s">
        <v>74</v>
      </c>
      <c r="H104" s="23" t="s">
        <v>426</v>
      </c>
      <c r="I104" s="23" t="s">
        <v>266</v>
      </c>
      <c r="J104" s="23" t="s">
        <v>427</v>
      </c>
      <c r="K104" s="23" t="s">
        <v>31</v>
      </c>
      <c r="O104" s="23" t="s">
        <v>19</v>
      </c>
    </row>
    <row r="105" spans="1:15" s="23" customFormat="1">
      <c r="A105" s="23" t="s">
        <v>428</v>
      </c>
      <c r="E105" s="24">
        <v>45631</v>
      </c>
      <c r="F105" s="23" t="s">
        <v>429</v>
      </c>
      <c r="G105" s="23" t="s">
        <v>154</v>
      </c>
      <c r="H105" s="23" t="s">
        <v>142</v>
      </c>
      <c r="I105" s="23" t="s">
        <v>247</v>
      </c>
      <c r="J105" s="23" t="s">
        <v>430</v>
      </c>
      <c r="K105" s="23" t="s">
        <v>31</v>
      </c>
      <c r="O105" s="23" t="s">
        <v>19</v>
      </c>
    </row>
    <row r="106" spans="1:15" s="23" customFormat="1">
      <c r="A106" s="23" t="s">
        <v>431</v>
      </c>
      <c r="E106" s="24">
        <v>45631</v>
      </c>
      <c r="F106" s="23" t="s">
        <v>432</v>
      </c>
      <c r="G106" s="23" t="s">
        <v>154</v>
      </c>
      <c r="H106" s="23" t="s">
        <v>433</v>
      </c>
      <c r="I106" s="23" t="s">
        <v>247</v>
      </c>
      <c r="J106" s="23" t="s">
        <v>434</v>
      </c>
      <c r="K106" s="23" t="s">
        <v>31</v>
      </c>
      <c r="O106" s="23" t="s">
        <v>19</v>
      </c>
    </row>
    <row r="107" spans="1:15" s="23" customFormat="1">
      <c r="A107" s="23" t="s">
        <v>435</v>
      </c>
      <c r="E107" s="24">
        <v>45688</v>
      </c>
      <c r="F107" s="23" t="s">
        <v>436</v>
      </c>
      <c r="G107" s="23" t="s">
        <v>154</v>
      </c>
      <c r="H107" s="23" t="s">
        <v>437</v>
      </c>
      <c r="I107" s="23" t="s">
        <v>438</v>
      </c>
      <c r="J107" s="23" t="s">
        <v>439</v>
      </c>
      <c r="K107" s="23" t="s">
        <v>31</v>
      </c>
      <c r="O107" s="23" t="s">
        <v>19</v>
      </c>
    </row>
    <row r="108" spans="1:15" s="23" customFormat="1">
      <c r="A108" s="23" t="s">
        <v>440</v>
      </c>
      <c r="E108" s="24">
        <v>45688</v>
      </c>
      <c r="F108" s="23" t="s">
        <v>441</v>
      </c>
      <c r="G108" s="23" t="s">
        <v>442</v>
      </c>
      <c r="H108" s="23" t="s">
        <v>443</v>
      </c>
      <c r="I108" s="23" t="s">
        <v>444</v>
      </c>
      <c r="J108" s="23" t="s">
        <v>445</v>
      </c>
      <c r="K108" s="23" t="s">
        <v>31</v>
      </c>
      <c r="O108" s="23" t="s">
        <v>19</v>
      </c>
    </row>
    <row r="109" spans="1:15" s="25" customFormat="1">
      <c r="A109" s="25" t="s">
        <v>446</v>
      </c>
      <c r="B109" s="25" t="s">
        <v>13</v>
      </c>
      <c r="E109" s="26">
        <v>45218</v>
      </c>
      <c r="F109" s="25" t="s">
        <v>447</v>
      </c>
      <c r="G109" s="25" t="s">
        <v>448</v>
      </c>
      <c r="H109" s="25" t="s">
        <v>449</v>
      </c>
      <c r="I109" s="25" t="s">
        <v>450</v>
      </c>
      <c r="J109" s="25" t="s">
        <v>451</v>
      </c>
      <c r="K109" s="25" t="s">
        <v>31</v>
      </c>
      <c r="O109" s="25" t="s">
        <v>356</v>
      </c>
    </row>
    <row r="110" spans="1:15" s="23" customFormat="1">
      <c r="A110" s="23" t="s">
        <v>452</v>
      </c>
      <c r="E110" s="24">
        <v>45492</v>
      </c>
      <c r="F110" s="23" t="s">
        <v>453</v>
      </c>
      <c r="G110" s="23" t="s">
        <v>15</v>
      </c>
      <c r="H110" s="23" t="s">
        <v>52</v>
      </c>
      <c r="I110" s="23" t="s">
        <v>247</v>
      </c>
      <c r="J110" s="23" t="s">
        <v>454</v>
      </c>
      <c r="K110" s="23" t="s">
        <v>455</v>
      </c>
      <c r="O110" s="23" t="s">
        <v>19</v>
      </c>
    </row>
    <row r="111" spans="1:15" s="25" customFormat="1">
      <c r="A111" s="25" t="s">
        <v>456</v>
      </c>
      <c r="E111" s="26">
        <v>45561</v>
      </c>
      <c r="F111" s="25" t="s">
        <v>169</v>
      </c>
      <c r="G111" s="25" t="s">
        <v>15</v>
      </c>
      <c r="H111" s="25" t="s">
        <v>457</v>
      </c>
      <c r="I111" s="25" t="s">
        <v>458</v>
      </c>
      <c r="J111" s="25" t="s">
        <v>459</v>
      </c>
      <c r="K111" s="25" t="s">
        <v>460</v>
      </c>
      <c r="O111" s="25" t="s">
        <v>19</v>
      </c>
    </row>
    <row r="112" spans="1:15" s="25" customFormat="1">
      <c r="A112" s="25" t="s">
        <v>461</v>
      </c>
      <c r="C112" s="25" t="s">
        <v>13</v>
      </c>
      <c r="D112" s="25" t="s">
        <v>13</v>
      </c>
      <c r="E112" s="26">
        <v>45688</v>
      </c>
      <c r="F112" s="25" t="s">
        <v>462</v>
      </c>
      <c r="G112" s="25" t="s">
        <v>216</v>
      </c>
      <c r="H112" s="25" t="s">
        <v>463</v>
      </c>
      <c r="I112" s="25" t="s">
        <v>464</v>
      </c>
      <c r="J112" s="25" t="s">
        <v>465</v>
      </c>
      <c r="K112" s="25" t="s">
        <v>31</v>
      </c>
      <c r="O112" s="25" t="s">
        <v>19</v>
      </c>
    </row>
    <row r="113" spans="1:15" s="25" customFormat="1">
      <c r="A113" s="25" t="s">
        <v>466</v>
      </c>
      <c r="C113" s="25" t="s">
        <v>13</v>
      </c>
      <c r="D113" s="25" t="s">
        <v>13</v>
      </c>
      <c r="E113" s="26">
        <v>45688</v>
      </c>
      <c r="F113" s="25" t="s">
        <v>169</v>
      </c>
      <c r="G113" s="25" t="s">
        <v>216</v>
      </c>
      <c r="H113" s="25" t="s">
        <v>467</v>
      </c>
      <c r="I113" s="25" t="s">
        <v>468</v>
      </c>
      <c r="J113" s="25" t="s">
        <v>469</v>
      </c>
      <c r="K113" s="25" t="s">
        <v>31</v>
      </c>
      <c r="O113" s="25" t="s">
        <v>19</v>
      </c>
    </row>
    <row r="114" spans="1:15" s="23" customFormat="1">
      <c r="A114" s="23" t="s">
        <v>470</v>
      </c>
      <c r="E114" s="24">
        <v>45694</v>
      </c>
      <c r="F114" s="23" t="s">
        <v>27</v>
      </c>
      <c r="G114" s="23" t="s">
        <v>294</v>
      </c>
      <c r="H114" s="23" t="s">
        <v>184</v>
      </c>
      <c r="I114" s="23" t="s">
        <v>471</v>
      </c>
      <c r="J114" s="23" t="s">
        <v>359</v>
      </c>
      <c r="K114" s="23" t="s">
        <v>31</v>
      </c>
      <c r="O114" s="23" t="s">
        <v>19</v>
      </c>
    </row>
    <row r="115" spans="1:15" s="25" customFormat="1">
      <c r="A115" s="25" t="s">
        <v>472</v>
      </c>
      <c r="E115" s="26">
        <v>45729</v>
      </c>
      <c r="F115" s="25" t="s">
        <v>473</v>
      </c>
      <c r="G115" s="25" t="s">
        <v>246</v>
      </c>
      <c r="H115" s="25" t="s">
        <v>89</v>
      </c>
      <c r="I115" s="25" t="s">
        <v>187</v>
      </c>
      <c r="J115" s="25" t="s">
        <v>474</v>
      </c>
      <c r="O115" s="25" t="s">
        <v>19</v>
      </c>
    </row>
    <row r="116" spans="1:15" s="25" customFormat="1">
      <c r="A116" s="25" t="s">
        <v>475</v>
      </c>
      <c r="E116" s="26">
        <v>45729</v>
      </c>
      <c r="F116" s="25" t="s">
        <v>476</v>
      </c>
      <c r="G116" s="25" t="s">
        <v>15</v>
      </c>
      <c r="H116" s="25" t="s">
        <v>331</v>
      </c>
      <c r="I116" s="25" t="s">
        <v>307</v>
      </c>
      <c r="J116" s="25" t="s">
        <v>474</v>
      </c>
      <c r="O116" s="25" t="s">
        <v>19</v>
      </c>
    </row>
    <row r="117" spans="1:15">
      <c r="B117" s="25">
        <f>COUNTIF(B2:B116,"Yes")</f>
        <v>93</v>
      </c>
      <c r="C117">
        <f>COUNTIF(C2:C116,"Yes")</f>
        <v>7</v>
      </c>
      <c r="D117">
        <f>COUNTIF(D2:D116,"yes")</f>
        <v>18</v>
      </c>
    </row>
    <row r="118" spans="1:15">
      <c r="A118" s="33" t="s">
        <v>477</v>
      </c>
      <c r="B118" s="25"/>
      <c r="C118" s="25"/>
      <c r="D118" s="25"/>
      <c r="O118" s="25"/>
    </row>
    <row r="119" spans="1:15" s="27" customFormat="1">
      <c r="A119" s="27" t="s">
        <v>478</v>
      </c>
      <c r="E119" s="28">
        <v>45771</v>
      </c>
      <c r="F119" s="27" t="s">
        <v>479</v>
      </c>
      <c r="G119" s="27" t="s">
        <v>246</v>
      </c>
      <c r="I119" s="27" t="s">
        <v>480</v>
      </c>
      <c r="J119" s="27" t="s">
        <v>178</v>
      </c>
      <c r="K119" s="27" t="s">
        <v>481</v>
      </c>
    </row>
    <row r="120" spans="1:15" s="27" customFormat="1">
      <c r="A120" s="27" t="s">
        <v>482</v>
      </c>
      <c r="E120" s="28">
        <v>45820</v>
      </c>
      <c r="F120" s="27" t="s">
        <v>483</v>
      </c>
      <c r="G120" s="27" t="s">
        <v>484</v>
      </c>
      <c r="I120" s="27" t="s">
        <v>485</v>
      </c>
      <c r="J120" s="27" t="s">
        <v>486</v>
      </c>
      <c r="K120" s="27" t="s">
        <v>487</v>
      </c>
    </row>
    <row r="121" spans="1:15" s="27" customFormat="1">
      <c r="A121" s="27" t="s">
        <v>488</v>
      </c>
      <c r="E121" s="28">
        <v>45820</v>
      </c>
      <c r="F121" s="27" t="s">
        <v>51</v>
      </c>
      <c r="G121" s="27" t="s">
        <v>484</v>
      </c>
      <c r="I121" s="27" t="s">
        <v>485</v>
      </c>
      <c r="J121" s="27" t="s">
        <v>489</v>
      </c>
      <c r="K121" s="27" t="s">
        <v>487</v>
      </c>
    </row>
    <row r="122" spans="1:15" s="29" customFormat="1">
      <c r="A122" s="29" t="s">
        <v>490</v>
      </c>
      <c r="E122" s="31">
        <v>45820</v>
      </c>
      <c r="F122" s="29" t="s">
        <v>491</v>
      </c>
      <c r="G122" s="29" t="s">
        <v>492</v>
      </c>
      <c r="I122" s="29" t="s">
        <v>493</v>
      </c>
      <c r="J122" s="29" t="s">
        <v>494</v>
      </c>
      <c r="K122" s="29" t="s">
        <v>487</v>
      </c>
    </row>
    <row r="123" spans="1:15" s="29" customFormat="1">
      <c r="A123" s="29" t="s">
        <v>495</v>
      </c>
      <c r="E123" s="31">
        <v>45792</v>
      </c>
      <c r="F123" s="29" t="s">
        <v>316</v>
      </c>
      <c r="G123" s="29" t="s">
        <v>154</v>
      </c>
      <c r="I123" s="29" t="s">
        <v>496</v>
      </c>
      <c r="J123" s="29" t="s">
        <v>497</v>
      </c>
      <c r="K123" s="29" t="s">
        <v>498</v>
      </c>
    </row>
    <row r="124" spans="1:15" s="29" customFormat="1">
      <c r="A124" s="29" t="s">
        <v>499</v>
      </c>
      <c r="E124" s="31">
        <v>45792</v>
      </c>
      <c r="F124" s="29" t="s">
        <v>500</v>
      </c>
      <c r="G124" s="29" t="s">
        <v>154</v>
      </c>
      <c r="I124" s="29" t="s">
        <v>493</v>
      </c>
      <c r="J124" s="29" t="s">
        <v>501</v>
      </c>
      <c r="K124" s="29" t="s">
        <v>498</v>
      </c>
    </row>
    <row r="125" spans="1:15" s="30" customFormat="1">
      <c r="A125" s="30" t="s">
        <v>502</v>
      </c>
      <c r="E125" s="32">
        <v>45736</v>
      </c>
      <c r="F125" s="30" t="s">
        <v>27</v>
      </c>
      <c r="G125" s="30" t="s">
        <v>390</v>
      </c>
      <c r="I125" s="30" t="s">
        <v>503</v>
      </c>
      <c r="J125" s="30" t="s">
        <v>504</v>
      </c>
    </row>
    <row r="126" spans="1:15" s="29" customFormat="1">
      <c r="A126" s="29" t="s">
        <v>505</v>
      </c>
      <c r="E126" s="31">
        <v>45890</v>
      </c>
      <c r="F126" s="29" t="s">
        <v>506</v>
      </c>
      <c r="G126" s="29" t="s">
        <v>88</v>
      </c>
      <c r="I126" s="29" t="s">
        <v>493</v>
      </c>
      <c r="J126" s="29" t="s">
        <v>507</v>
      </c>
      <c r="K126" s="29" t="s">
        <v>508</v>
      </c>
    </row>
    <row r="127" spans="1:15" s="29" customFormat="1">
      <c r="A127" s="29" t="s">
        <v>509</v>
      </c>
      <c r="E127" s="31">
        <v>45890</v>
      </c>
      <c r="F127" s="29" t="s">
        <v>510</v>
      </c>
      <c r="G127" s="29" t="s">
        <v>511</v>
      </c>
      <c r="I127" s="29" t="s">
        <v>512</v>
      </c>
      <c r="J127" s="29" t="s">
        <v>513</v>
      </c>
      <c r="K127" s="29" t="s">
        <v>498</v>
      </c>
    </row>
    <row r="128" spans="1:15" s="29" customFormat="1">
      <c r="A128" s="29" t="s">
        <v>514</v>
      </c>
      <c r="E128" s="31">
        <v>45890</v>
      </c>
      <c r="F128" s="29" t="s">
        <v>515</v>
      </c>
      <c r="G128" s="29" t="s">
        <v>516</v>
      </c>
      <c r="I128" s="29" t="s">
        <v>517</v>
      </c>
      <c r="J128" s="29" t="s">
        <v>518</v>
      </c>
      <c r="K128" s="29" t="s">
        <v>498</v>
      </c>
    </row>
    <row r="130" spans="14:14">
      <c r="N130" t="s">
        <v>519</v>
      </c>
    </row>
    <row r="131" spans="14:14">
      <c r="N131" t="s">
        <v>520</v>
      </c>
    </row>
    <row r="132" spans="14:14">
      <c r="N132" t="s">
        <v>521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9DE3-524B-5142-8E65-019E4AECCEB9}">
  <dimension ref="A2:N26"/>
  <sheetViews>
    <sheetView workbookViewId="0">
      <selection activeCell="C31" sqref="C31"/>
    </sheetView>
  </sheetViews>
  <sheetFormatPr defaultColWidth="11" defaultRowHeight="15.95"/>
  <cols>
    <col min="6" max="6" width="14.5" customWidth="1"/>
    <col min="7" max="7" width="15.5" customWidth="1"/>
    <col min="8" max="8" width="16.875" customWidth="1"/>
    <col min="10" max="10" width="19.625" customWidth="1"/>
  </cols>
  <sheetData>
    <row r="2" spans="1:14">
      <c r="A2" t="s">
        <v>522</v>
      </c>
      <c r="B2" s="2" t="s">
        <v>523</v>
      </c>
      <c r="C2" s="2" t="s">
        <v>524</v>
      </c>
      <c r="D2" s="2" t="s">
        <v>322</v>
      </c>
      <c r="E2" s="2" t="s">
        <v>525</v>
      </c>
      <c r="F2" s="2" t="s">
        <v>526</v>
      </c>
      <c r="G2" s="2" t="s">
        <v>527</v>
      </c>
      <c r="H2" s="2" t="s">
        <v>528</v>
      </c>
      <c r="I2" s="2" t="s">
        <v>529</v>
      </c>
      <c r="J2" s="2" t="s">
        <v>530</v>
      </c>
      <c r="K2" s="2" t="s">
        <v>531</v>
      </c>
      <c r="L2" s="2" t="s">
        <v>532</v>
      </c>
      <c r="M2" s="2" t="s">
        <v>533</v>
      </c>
      <c r="N2" s="2" t="s">
        <v>534</v>
      </c>
    </row>
    <row r="3" spans="1:14">
      <c r="A3">
        <v>1</v>
      </c>
      <c r="B3" t="s">
        <v>13</v>
      </c>
      <c r="C3" t="s">
        <v>13</v>
      </c>
      <c r="D3" t="s">
        <v>535</v>
      </c>
      <c r="E3" t="s">
        <v>535</v>
      </c>
      <c r="F3" t="s">
        <v>535</v>
      </c>
      <c r="G3" t="s">
        <v>535</v>
      </c>
      <c r="H3" t="s">
        <v>13</v>
      </c>
      <c r="I3" t="s">
        <v>535</v>
      </c>
      <c r="J3" t="s">
        <v>535</v>
      </c>
      <c r="K3" t="s">
        <v>13</v>
      </c>
      <c r="L3" t="s">
        <v>535</v>
      </c>
      <c r="M3" t="s">
        <v>535</v>
      </c>
      <c r="N3" t="s">
        <v>535</v>
      </c>
    </row>
    <row r="4" spans="1:14">
      <c r="A4">
        <v>2</v>
      </c>
      <c r="B4" t="s">
        <v>13</v>
      </c>
      <c r="C4" t="s">
        <v>13</v>
      </c>
      <c r="D4" t="s">
        <v>535</v>
      </c>
      <c r="E4" t="s">
        <v>13</v>
      </c>
      <c r="F4" t="s">
        <v>535</v>
      </c>
      <c r="G4" t="s">
        <v>535</v>
      </c>
      <c r="H4" t="s">
        <v>13</v>
      </c>
      <c r="I4" t="s">
        <v>13</v>
      </c>
      <c r="J4" t="s">
        <v>13</v>
      </c>
      <c r="K4" t="s">
        <v>535</v>
      </c>
      <c r="L4" t="s">
        <v>535</v>
      </c>
      <c r="M4" t="s">
        <v>535</v>
      </c>
      <c r="N4" t="s">
        <v>535</v>
      </c>
    </row>
    <row r="5" spans="1:14">
      <c r="A5">
        <v>3</v>
      </c>
      <c r="B5" t="s">
        <v>13</v>
      </c>
      <c r="C5" t="s">
        <v>535</v>
      </c>
      <c r="D5" t="s">
        <v>535</v>
      </c>
      <c r="E5" t="s">
        <v>535</v>
      </c>
      <c r="F5" t="s">
        <v>535</v>
      </c>
      <c r="G5" t="s">
        <v>535</v>
      </c>
      <c r="H5" t="s">
        <v>535</v>
      </c>
      <c r="I5" t="s">
        <v>13</v>
      </c>
      <c r="J5" t="s">
        <v>535</v>
      </c>
      <c r="K5" t="s">
        <v>535</v>
      </c>
      <c r="L5" t="s">
        <v>13</v>
      </c>
      <c r="M5" t="s">
        <v>535</v>
      </c>
      <c r="N5" t="s">
        <v>535</v>
      </c>
    </row>
    <row r="6" spans="1:14">
      <c r="A6">
        <v>4</v>
      </c>
      <c r="B6" t="s">
        <v>13</v>
      </c>
      <c r="C6" t="s">
        <v>535</v>
      </c>
      <c r="D6" t="s">
        <v>535</v>
      </c>
      <c r="E6" t="s">
        <v>535</v>
      </c>
      <c r="F6" t="s">
        <v>535</v>
      </c>
      <c r="G6" t="s">
        <v>535</v>
      </c>
      <c r="H6" t="s">
        <v>535</v>
      </c>
      <c r="I6" t="s">
        <v>535</v>
      </c>
      <c r="J6" t="s">
        <v>535</v>
      </c>
      <c r="K6" t="s">
        <v>535</v>
      </c>
      <c r="L6" t="s">
        <v>535</v>
      </c>
      <c r="M6" t="s">
        <v>535</v>
      </c>
      <c r="N6" t="s">
        <v>535</v>
      </c>
    </row>
    <row r="7" spans="1:14">
      <c r="A7">
        <v>5</v>
      </c>
      <c r="B7" t="s">
        <v>13</v>
      </c>
      <c r="C7" t="s">
        <v>535</v>
      </c>
      <c r="D7" t="s">
        <v>535</v>
      </c>
      <c r="E7" t="s">
        <v>535</v>
      </c>
      <c r="F7" t="s">
        <v>535</v>
      </c>
      <c r="G7" t="s">
        <v>535</v>
      </c>
      <c r="H7" t="s">
        <v>535</v>
      </c>
      <c r="I7" t="s">
        <v>535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</row>
    <row r="8" spans="1:14">
      <c r="A8">
        <v>6</v>
      </c>
      <c r="B8" t="s">
        <v>535</v>
      </c>
      <c r="C8" t="s">
        <v>13</v>
      </c>
      <c r="D8" t="s">
        <v>535</v>
      </c>
      <c r="E8" t="s">
        <v>535</v>
      </c>
      <c r="F8" t="s">
        <v>535</v>
      </c>
      <c r="G8" t="s">
        <v>535</v>
      </c>
      <c r="H8" t="s">
        <v>13</v>
      </c>
      <c r="I8" t="s">
        <v>535</v>
      </c>
      <c r="J8" t="s">
        <v>535</v>
      </c>
      <c r="K8" t="s">
        <v>535</v>
      </c>
      <c r="L8" t="s">
        <v>13</v>
      </c>
      <c r="M8" t="s">
        <v>535</v>
      </c>
      <c r="N8" t="s">
        <v>535</v>
      </c>
    </row>
    <row r="9" spans="1:14">
      <c r="A9">
        <v>7</v>
      </c>
      <c r="B9" t="s">
        <v>13</v>
      </c>
      <c r="C9" t="s">
        <v>13</v>
      </c>
      <c r="D9" t="s">
        <v>535</v>
      </c>
      <c r="E9" t="s">
        <v>535</v>
      </c>
      <c r="F9" t="s">
        <v>535</v>
      </c>
      <c r="G9" t="s">
        <v>535</v>
      </c>
      <c r="H9" t="s">
        <v>535</v>
      </c>
      <c r="I9" t="s">
        <v>535</v>
      </c>
      <c r="J9" t="s">
        <v>535</v>
      </c>
      <c r="K9" t="s">
        <v>535</v>
      </c>
      <c r="L9" t="s">
        <v>535</v>
      </c>
      <c r="M9" t="s">
        <v>13</v>
      </c>
      <c r="N9" t="s">
        <v>535</v>
      </c>
    </row>
    <row r="10" spans="1:14">
      <c r="A10">
        <v>8</v>
      </c>
      <c r="B10" t="s">
        <v>13</v>
      </c>
      <c r="C10" t="s">
        <v>535</v>
      </c>
      <c r="D10" t="s">
        <v>535</v>
      </c>
      <c r="E10" t="s">
        <v>535</v>
      </c>
      <c r="F10" t="s">
        <v>13</v>
      </c>
      <c r="G10" t="s">
        <v>535</v>
      </c>
      <c r="H10" t="s">
        <v>535</v>
      </c>
      <c r="I10" t="s">
        <v>535</v>
      </c>
      <c r="J10" t="s">
        <v>535</v>
      </c>
      <c r="K10" t="s">
        <v>535</v>
      </c>
      <c r="L10" t="s">
        <v>535</v>
      </c>
      <c r="M10" t="s">
        <v>535</v>
      </c>
      <c r="N10" t="s">
        <v>535</v>
      </c>
    </row>
    <row r="11" spans="1:14">
      <c r="A11">
        <v>9</v>
      </c>
      <c r="B11" t="s">
        <v>13</v>
      </c>
      <c r="C11" t="s">
        <v>535</v>
      </c>
      <c r="D11" t="s">
        <v>535</v>
      </c>
      <c r="E11" t="s">
        <v>535</v>
      </c>
      <c r="F11" t="s">
        <v>535</v>
      </c>
      <c r="G11" t="s">
        <v>535</v>
      </c>
      <c r="H11" t="s">
        <v>535</v>
      </c>
      <c r="I11" t="s">
        <v>535</v>
      </c>
      <c r="J11" t="s">
        <v>535</v>
      </c>
      <c r="K11" t="s">
        <v>535</v>
      </c>
      <c r="L11" t="s">
        <v>535</v>
      </c>
      <c r="M11" t="s">
        <v>535</v>
      </c>
      <c r="N11" t="s">
        <v>535</v>
      </c>
    </row>
    <row r="12" spans="1:14">
      <c r="A12">
        <v>10</v>
      </c>
      <c r="B12" t="s">
        <v>13</v>
      </c>
      <c r="C12" t="s">
        <v>535</v>
      </c>
      <c r="D12" t="s">
        <v>535</v>
      </c>
      <c r="E12" t="s">
        <v>535</v>
      </c>
      <c r="F12" t="s">
        <v>535</v>
      </c>
      <c r="G12" t="s">
        <v>535</v>
      </c>
      <c r="H12" t="s">
        <v>535</v>
      </c>
      <c r="I12" t="s">
        <v>535</v>
      </c>
      <c r="J12" t="s">
        <v>535</v>
      </c>
      <c r="K12" t="s">
        <v>535</v>
      </c>
      <c r="L12" t="s">
        <v>535</v>
      </c>
      <c r="M12" t="s">
        <v>535</v>
      </c>
      <c r="N12" t="s">
        <v>535</v>
      </c>
    </row>
    <row r="13" spans="1:14">
      <c r="A13">
        <v>11</v>
      </c>
      <c r="B13" t="s">
        <v>13</v>
      </c>
      <c r="C13" t="s">
        <v>535</v>
      </c>
      <c r="D13" t="s">
        <v>13</v>
      </c>
      <c r="E13" t="s">
        <v>535</v>
      </c>
      <c r="F13" t="s">
        <v>535</v>
      </c>
      <c r="G13" t="s">
        <v>535</v>
      </c>
      <c r="H13" t="s">
        <v>535</v>
      </c>
      <c r="I13" t="s">
        <v>535</v>
      </c>
      <c r="J13" t="s">
        <v>535</v>
      </c>
      <c r="K13" t="s">
        <v>535</v>
      </c>
      <c r="L13" t="s">
        <v>535</v>
      </c>
      <c r="M13" t="s">
        <v>535</v>
      </c>
      <c r="N13" t="s">
        <v>535</v>
      </c>
    </row>
    <row r="14" spans="1:14">
      <c r="A14">
        <v>12</v>
      </c>
      <c r="B14" t="s">
        <v>13</v>
      </c>
      <c r="C14" t="s">
        <v>535</v>
      </c>
      <c r="D14" t="s">
        <v>13</v>
      </c>
      <c r="E14" t="s">
        <v>13</v>
      </c>
      <c r="F14" t="s">
        <v>535</v>
      </c>
      <c r="G14" t="s">
        <v>535</v>
      </c>
      <c r="H14" t="s">
        <v>535</v>
      </c>
      <c r="I14" t="s">
        <v>535</v>
      </c>
      <c r="J14" t="s">
        <v>535</v>
      </c>
      <c r="K14" t="s">
        <v>535</v>
      </c>
      <c r="L14" t="s">
        <v>535</v>
      </c>
      <c r="M14" t="s">
        <v>535</v>
      </c>
      <c r="N14" t="s">
        <v>535</v>
      </c>
    </row>
    <row r="15" spans="1:14">
      <c r="A15">
        <v>13</v>
      </c>
      <c r="B15" t="s">
        <v>13</v>
      </c>
      <c r="C15" t="s">
        <v>535</v>
      </c>
      <c r="D15" t="s">
        <v>535</v>
      </c>
      <c r="E15" t="s">
        <v>535</v>
      </c>
      <c r="F15" t="s">
        <v>535</v>
      </c>
      <c r="G15" t="s">
        <v>535</v>
      </c>
      <c r="H15" t="s">
        <v>535</v>
      </c>
      <c r="I15" t="s">
        <v>535</v>
      </c>
      <c r="J15" t="s">
        <v>535</v>
      </c>
      <c r="K15" t="s">
        <v>535</v>
      </c>
      <c r="L15" t="s">
        <v>535</v>
      </c>
      <c r="M15" t="s">
        <v>535</v>
      </c>
      <c r="N15" t="s">
        <v>535</v>
      </c>
    </row>
    <row r="16" spans="1:14">
      <c r="A16">
        <v>14</v>
      </c>
      <c r="B16" t="s">
        <v>13</v>
      </c>
      <c r="C16" t="s">
        <v>535</v>
      </c>
      <c r="D16" t="s">
        <v>13</v>
      </c>
      <c r="E16" t="s">
        <v>535</v>
      </c>
      <c r="F16" t="s">
        <v>535</v>
      </c>
      <c r="G16" t="s">
        <v>535</v>
      </c>
      <c r="H16" t="s">
        <v>535</v>
      </c>
      <c r="I16" t="s">
        <v>535</v>
      </c>
      <c r="J16" t="s">
        <v>535</v>
      </c>
      <c r="K16" t="s">
        <v>535</v>
      </c>
      <c r="L16" t="s">
        <v>535</v>
      </c>
      <c r="M16" t="s">
        <v>535</v>
      </c>
      <c r="N16" t="s">
        <v>535</v>
      </c>
    </row>
    <row r="17" spans="1:14">
      <c r="A17">
        <v>15</v>
      </c>
      <c r="B17" t="s">
        <v>535</v>
      </c>
      <c r="C17" t="s">
        <v>535</v>
      </c>
      <c r="D17" t="s">
        <v>13</v>
      </c>
      <c r="E17" t="s">
        <v>535</v>
      </c>
      <c r="F17" t="s">
        <v>535</v>
      </c>
      <c r="G17" t="s">
        <v>535</v>
      </c>
      <c r="H17" t="s">
        <v>535</v>
      </c>
      <c r="I17" t="s">
        <v>535</v>
      </c>
      <c r="J17" t="s">
        <v>535</v>
      </c>
      <c r="K17" t="s">
        <v>535</v>
      </c>
      <c r="L17" t="s">
        <v>535</v>
      </c>
      <c r="M17" t="s">
        <v>535</v>
      </c>
      <c r="N17" t="s">
        <v>535</v>
      </c>
    </row>
    <row r="18" spans="1:14">
      <c r="A18">
        <v>16</v>
      </c>
      <c r="B18" t="s">
        <v>13</v>
      </c>
      <c r="C18" t="s">
        <v>13</v>
      </c>
      <c r="D18" t="s">
        <v>13</v>
      </c>
      <c r="E18" t="s">
        <v>535</v>
      </c>
      <c r="F18" t="s">
        <v>535</v>
      </c>
      <c r="G18" t="s">
        <v>535</v>
      </c>
      <c r="H18" t="s">
        <v>535</v>
      </c>
      <c r="I18" t="s">
        <v>535</v>
      </c>
      <c r="J18" t="s">
        <v>535</v>
      </c>
      <c r="K18" t="s">
        <v>535</v>
      </c>
      <c r="L18" t="s">
        <v>535</v>
      </c>
      <c r="M18" t="s">
        <v>535</v>
      </c>
      <c r="N18" t="s">
        <v>535</v>
      </c>
    </row>
    <row r="19" spans="1:14">
      <c r="A19">
        <v>17</v>
      </c>
      <c r="B19" t="s">
        <v>13</v>
      </c>
      <c r="C19" t="s">
        <v>535</v>
      </c>
      <c r="D19" t="s">
        <v>535</v>
      </c>
      <c r="E19" t="s">
        <v>535</v>
      </c>
      <c r="F19" t="s">
        <v>13</v>
      </c>
      <c r="G19" t="s">
        <v>13</v>
      </c>
      <c r="H19" t="s">
        <v>535</v>
      </c>
      <c r="I19" t="s">
        <v>13</v>
      </c>
      <c r="J19" t="s">
        <v>535</v>
      </c>
      <c r="K19" t="s">
        <v>535</v>
      </c>
      <c r="L19" t="s">
        <v>535</v>
      </c>
      <c r="M19" t="s">
        <v>535</v>
      </c>
      <c r="N19" t="s">
        <v>535</v>
      </c>
    </row>
    <row r="20" spans="1:14">
      <c r="A20">
        <v>18</v>
      </c>
      <c r="B20" t="s">
        <v>13</v>
      </c>
      <c r="C20" t="s">
        <v>535</v>
      </c>
      <c r="D20" t="s">
        <v>535</v>
      </c>
      <c r="E20" t="s">
        <v>535</v>
      </c>
      <c r="F20" t="s">
        <v>535</v>
      </c>
      <c r="G20" t="s">
        <v>535</v>
      </c>
      <c r="H20" t="s">
        <v>535</v>
      </c>
      <c r="I20" t="s">
        <v>535</v>
      </c>
      <c r="J20" t="s">
        <v>13</v>
      </c>
      <c r="K20" t="s">
        <v>535</v>
      </c>
      <c r="L20" t="s">
        <v>535</v>
      </c>
      <c r="M20" t="s">
        <v>535</v>
      </c>
      <c r="N20" t="s">
        <v>13</v>
      </c>
    </row>
    <row r="21" spans="1:14">
      <c r="A21">
        <v>19</v>
      </c>
      <c r="B21" t="s">
        <v>13</v>
      </c>
      <c r="C21" t="s">
        <v>535</v>
      </c>
      <c r="D21" t="s">
        <v>535</v>
      </c>
      <c r="E21" t="s">
        <v>535</v>
      </c>
      <c r="F21" t="s">
        <v>535</v>
      </c>
      <c r="G21" t="s">
        <v>535</v>
      </c>
      <c r="H21" t="s">
        <v>535</v>
      </c>
      <c r="I21" t="s">
        <v>535</v>
      </c>
      <c r="J21" t="s">
        <v>535</v>
      </c>
      <c r="K21" t="s">
        <v>535</v>
      </c>
      <c r="L21" t="s">
        <v>535</v>
      </c>
      <c r="M21" t="s">
        <v>535</v>
      </c>
      <c r="N21" t="s">
        <v>535</v>
      </c>
    </row>
    <row r="22" spans="1:14">
      <c r="A22">
        <v>20</v>
      </c>
      <c r="B22" t="s">
        <v>13</v>
      </c>
      <c r="C22" t="s">
        <v>13</v>
      </c>
      <c r="D22" t="s">
        <v>535</v>
      </c>
      <c r="E22" t="s">
        <v>535</v>
      </c>
      <c r="F22" t="s">
        <v>535</v>
      </c>
      <c r="G22" t="s">
        <v>535</v>
      </c>
      <c r="H22" t="s">
        <v>535</v>
      </c>
      <c r="I22" t="s">
        <v>535</v>
      </c>
      <c r="J22" t="s">
        <v>535</v>
      </c>
      <c r="K22" t="s">
        <v>535</v>
      </c>
      <c r="L22" t="s">
        <v>535</v>
      </c>
      <c r="M22" t="s">
        <v>535</v>
      </c>
      <c r="N22" t="s">
        <v>535</v>
      </c>
    </row>
    <row r="23" spans="1:14">
      <c r="A23">
        <v>21</v>
      </c>
      <c r="B23" t="s">
        <v>13</v>
      </c>
      <c r="C23" t="s">
        <v>535</v>
      </c>
      <c r="D23" t="s">
        <v>13</v>
      </c>
      <c r="E23" t="s">
        <v>535</v>
      </c>
      <c r="F23" t="s">
        <v>535</v>
      </c>
      <c r="G23" t="s">
        <v>535</v>
      </c>
      <c r="H23" t="s">
        <v>535</v>
      </c>
      <c r="I23" t="s">
        <v>535</v>
      </c>
      <c r="J23" t="s">
        <v>535</v>
      </c>
      <c r="K23" t="s">
        <v>535</v>
      </c>
      <c r="L23" t="s">
        <v>535</v>
      </c>
      <c r="M23" t="s">
        <v>535</v>
      </c>
      <c r="N23" t="s">
        <v>535</v>
      </c>
    </row>
    <row r="24" spans="1:14">
      <c r="A24">
        <v>22</v>
      </c>
      <c r="B24" t="s">
        <v>13</v>
      </c>
      <c r="C24" t="s">
        <v>535</v>
      </c>
      <c r="D24" t="s">
        <v>535</v>
      </c>
      <c r="E24" t="s">
        <v>535</v>
      </c>
      <c r="F24" t="s">
        <v>535</v>
      </c>
      <c r="G24" t="s">
        <v>535</v>
      </c>
      <c r="H24" t="s">
        <v>535</v>
      </c>
      <c r="I24" t="s">
        <v>535</v>
      </c>
      <c r="J24" t="s">
        <v>535</v>
      </c>
      <c r="K24" t="s">
        <v>535</v>
      </c>
      <c r="L24" t="s">
        <v>535</v>
      </c>
      <c r="M24" t="s">
        <v>535</v>
      </c>
      <c r="N24" t="s">
        <v>535</v>
      </c>
    </row>
    <row r="25" spans="1:14">
      <c r="A25" t="s">
        <v>536</v>
      </c>
      <c r="B25">
        <f>COUNTIF(B3:B24,"Yes")</f>
        <v>20</v>
      </c>
      <c r="C25">
        <f>COUNTIF(C3:C24,"Yes")</f>
        <v>6</v>
      </c>
      <c r="D25">
        <f t="shared" ref="D25:N25" si="0">COUNTIF(D3:D24,"Yes")</f>
        <v>6</v>
      </c>
      <c r="E25">
        <f t="shared" si="0"/>
        <v>2</v>
      </c>
      <c r="F25">
        <f t="shared" si="0"/>
        <v>2</v>
      </c>
      <c r="G25">
        <f t="shared" si="0"/>
        <v>1</v>
      </c>
      <c r="H25">
        <f t="shared" si="0"/>
        <v>3</v>
      </c>
      <c r="I25">
        <f t="shared" si="0"/>
        <v>3</v>
      </c>
      <c r="J25">
        <f t="shared" si="0"/>
        <v>2</v>
      </c>
      <c r="K25">
        <f t="shared" si="0"/>
        <v>1</v>
      </c>
      <c r="L25">
        <f t="shared" si="0"/>
        <v>2</v>
      </c>
      <c r="M25">
        <f t="shared" si="0"/>
        <v>1</v>
      </c>
      <c r="N25">
        <f t="shared" si="0"/>
        <v>1</v>
      </c>
    </row>
    <row r="26" spans="1:14">
      <c r="A26" t="s">
        <v>537</v>
      </c>
      <c r="B26" s="35">
        <f>B25/22*100</f>
        <v>90.909090909090907</v>
      </c>
      <c r="C26" s="35">
        <f t="shared" ref="C26:N26" si="1">C25/22*100</f>
        <v>27.27272727272727</v>
      </c>
      <c r="D26" s="35">
        <f t="shared" si="1"/>
        <v>27.27272727272727</v>
      </c>
      <c r="E26" s="35">
        <f t="shared" si="1"/>
        <v>9.0909090909090917</v>
      </c>
      <c r="F26" s="35">
        <f t="shared" si="1"/>
        <v>9.0909090909090917</v>
      </c>
      <c r="G26" s="35">
        <f t="shared" si="1"/>
        <v>4.5454545454545459</v>
      </c>
      <c r="H26" s="35">
        <f t="shared" si="1"/>
        <v>13.636363636363635</v>
      </c>
      <c r="I26" s="35">
        <f t="shared" si="1"/>
        <v>13.636363636363635</v>
      </c>
      <c r="J26" s="35">
        <f t="shared" si="1"/>
        <v>9.0909090909090917</v>
      </c>
      <c r="K26" s="35">
        <f t="shared" si="1"/>
        <v>4.5454545454545459</v>
      </c>
      <c r="L26" s="35">
        <f t="shared" si="1"/>
        <v>9.0909090909090917</v>
      </c>
      <c r="M26" s="35">
        <f t="shared" si="1"/>
        <v>4.5454545454545459</v>
      </c>
      <c r="N26" s="35">
        <f t="shared" si="1"/>
        <v>4.5454545454545459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8A2D7-8152-F448-9B02-CAB3FF0FE42D}">
  <dimension ref="A2:M28"/>
  <sheetViews>
    <sheetView tabSelected="1" topLeftCell="E1" workbookViewId="0">
      <selection activeCell="G11" sqref="G11"/>
    </sheetView>
  </sheetViews>
  <sheetFormatPr defaultColWidth="11" defaultRowHeight="15.95"/>
  <cols>
    <col min="1" max="1" width="22.5" customWidth="1"/>
    <col min="4" max="4" width="25.625" customWidth="1"/>
    <col min="5" max="5" width="85.5" customWidth="1"/>
    <col min="6" max="6" width="50.5" customWidth="1"/>
    <col min="7" max="7" width="29.5" customWidth="1"/>
    <col min="8" max="8" width="29" customWidth="1"/>
  </cols>
  <sheetData>
    <row r="2" spans="1:13">
      <c r="A2" s="21" t="s">
        <v>538</v>
      </c>
    </row>
    <row r="3" spans="1:13">
      <c r="C3" t="s">
        <v>539</v>
      </c>
    </row>
    <row r="4" spans="1:13" s="23" customFormat="1">
      <c r="A4" s="23" t="s">
        <v>36</v>
      </c>
      <c r="B4" s="24">
        <v>45401</v>
      </c>
      <c r="C4" s="24" t="s">
        <v>540</v>
      </c>
      <c r="D4" s="23" t="s">
        <v>37</v>
      </c>
      <c r="E4" s="23" t="s">
        <v>41</v>
      </c>
      <c r="F4" s="23" t="s">
        <v>38</v>
      </c>
      <c r="G4" s="23" t="s">
        <v>39</v>
      </c>
      <c r="H4" s="23" t="s">
        <v>40</v>
      </c>
      <c r="I4" s="23" t="s">
        <v>31</v>
      </c>
      <c r="L4" s="24"/>
    </row>
    <row r="5" spans="1:13" s="23" customFormat="1">
      <c r="A5" s="23" t="s">
        <v>42</v>
      </c>
      <c r="B5" s="24">
        <v>45401</v>
      </c>
      <c r="C5" s="24" t="s">
        <v>540</v>
      </c>
      <c r="D5" s="23" t="s">
        <v>43</v>
      </c>
      <c r="E5" s="23" t="s">
        <v>46</v>
      </c>
      <c r="F5" s="23" t="s">
        <v>44</v>
      </c>
      <c r="G5" s="23" t="s">
        <v>39</v>
      </c>
      <c r="H5" s="23" t="s">
        <v>45</v>
      </c>
      <c r="I5" s="23" t="s">
        <v>31</v>
      </c>
      <c r="L5" s="24"/>
    </row>
    <row r="6" spans="1:13" s="23" customFormat="1">
      <c r="A6" s="23" t="s">
        <v>47</v>
      </c>
      <c r="B6" s="24">
        <v>45401</v>
      </c>
      <c r="C6" s="24" t="s">
        <v>540</v>
      </c>
      <c r="D6" s="23" t="s">
        <v>48</v>
      </c>
      <c r="E6" s="23" t="s">
        <v>41</v>
      </c>
      <c r="F6" s="23" t="s">
        <v>44</v>
      </c>
      <c r="G6" s="23" t="s">
        <v>39</v>
      </c>
      <c r="H6" s="23" t="s">
        <v>49</v>
      </c>
      <c r="I6" s="23" t="s">
        <v>31</v>
      </c>
      <c r="L6" s="24"/>
    </row>
    <row r="7" spans="1:13" s="23" customFormat="1">
      <c r="A7" s="23" t="s">
        <v>56</v>
      </c>
      <c r="B7" s="24">
        <v>45674</v>
      </c>
      <c r="C7" s="24" t="s">
        <v>540</v>
      </c>
      <c r="D7" s="23" t="s">
        <v>57</v>
      </c>
      <c r="E7" s="23" t="s">
        <v>54</v>
      </c>
      <c r="F7" s="23" t="s">
        <v>58</v>
      </c>
      <c r="G7" s="23" t="s">
        <v>59</v>
      </c>
      <c r="H7" s="23" t="s">
        <v>60</v>
      </c>
      <c r="I7" s="23" t="s">
        <v>55</v>
      </c>
      <c r="L7" s="24"/>
      <c r="M7" s="23" t="s">
        <v>541</v>
      </c>
    </row>
    <row r="8" spans="1:13" s="25" customFormat="1">
      <c r="A8" s="25" t="s">
        <v>61</v>
      </c>
      <c r="B8" s="26">
        <v>44546</v>
      </c>
      <c r="C8" s="26" t="s">
        <v>542</v>
      </c>
      <c r="D8" s="25" t="s">
        <v>62</v>
      </c>
      <c r="E8" s="25" t="s">
        <v>66</v>
      </c>
      <c r="F8" s="25" t="s">
        <v>63</v>
      </c>
      <c r="G8" s="25" t="s">
        <v>64</v>
      </c>
      <c r="H8" s="25" t="s">
        <v>65</v>
      </c>
      <c r="I8" s="25" t="s">
        <v>18</v>
      </c>
      <c r="L8" s="26"/>
    </row>
    <row r="9" spans="1:13" s="25" customFormat="1">
      <c r="A9" s="25" t="s">
        <v>67</v>
      </c>
      <c r="B9" s="26">
        <v>44546</v>
      </c>
      <c r="C9" s="26" t="s">
        <v>540</v>
      </c>
      <c r="D9" s="25" t="s">
        <v>68</v>
      </c>
      <c r="E9" s="25" t="s">
        <v>71</v>
      </c>
      <c r="F9" s="25" t="s">
        <v>63</v>
      </c>
      <c r="G9" s="25" t="s">
        <v>69</v>
      </c>
      <c r="H9" s="25" t="s">
        <v>70</v>
      </c>
      <c r="I9" s="25" t="s">
        <v>18</v>
      </c>
      <c r="L9" s="26"/>
    </row>
    <row r="10" spans="1:13" s="23" customFormat="1">
      <c r="A10" s="23" t="s">
        <v>206</v>
      </c>
      <c r="B10" s="24">
        <v>44651</v>
      </c>
      <c r="C10" s="24" t="s">
        <v>543</v>
      </c>
      <c r="D10" s="23" t="s">
        <v>207</v>
      </c>
      <c r="E10" s="23" t="s">
        <v>211</v>
      </c>
      <c r="F10" s="23" t="s">
        <v>208</v>
      </c>
      <c r="G10" s="23" t="s">
        <v>209</v>
      </c>
      <c r="H10" s="23" t="s">
        <v>210</v>
      </c>
      <c r="I10" s="23" t="s">
        <v>18</v>
      </c>
      <c r="L10" s="24"/>
    </row>
    <row r="11" spans="1:13" s="25" customFormat="1">
      <c r="A11" s="25" t="s">
        <v>215</v>
      </c>
      <c r="B11" s="26">
        <v>44713</v>
      </c>
      <c r="C11" s="26" t="s">
        <v>540</v>
      </c>
      <c r="D11" s="25" t="s">
        <v>169</v>
      </c>
      <c r="E11" s="25" t="s">
        <v>218</v>
      </c>
      <c r="F11" s="25" t="s">
        <v>216</v>
      </c>
      <c r="G11" s="25" t="s">
        <v>83</v>
      </c>
      <c r="H11" s="25" t="s">
        <v>217</v>
      </c>
      <c r="I11" s="25" t="s">
        <v>18</v>
      </c>
      <c r="L11" s="26"/>
    </row>
    <row r="12" spans="1:13" s="25" customFormat="1">
      <c r="A12" s="25" t="s">
        <v>224</v>
      </c>
      <c r="B12" s="26">
        <v>44714</v>
      </c>
      <c r="C12" s="26" t="s">
        <v>542</v>
      </c>
      <c r="D12" s="25" t="s">
        <v>225</v>
      </c>
      <c r="E12" s="25" t="s">
        <v>218</v>
      </c>
      <c r="F12" s="25" t="s">
        <v>216</v>
      </c>
      <c r="G12" s="25" t="s">
        <v>83</v>
      </c>
      <c r="H12" s="25" t="s">
        <v>226</v>
      </c>
      <c r="I12" s="25" t="s">
        <v>18</v>
      </c>
      <c r="L12" s="26"/>
    </row>
    <row r="13" spans="1:13" s="25" customFormat="1">
      <c r="A13" s="25" t="s">
        <v>227</v>
      </c>
      <c r="B13" s="26">
        <v>44714</v>
      </c>
      <c r="C13" s="26" t="s">
        <v>542</v>
      </c>
      <c r="D13" s="25" t="s">
        <v>228</v>
      </c>
      <c r="E13" s="25" t="s">
        <v>218</v>
      </c>
      <c r="F13" s="25" t="s">
        <v>63</v>
      </c>
      <c r="G13" s="25" t="s">
        <v>229</v>
      </c>
      <c r="H13" s="25" t="s">
        <v>230</v>
      </c>
      <c r="I13" s="25" t="s">
        <v>18</v>
      </c>
      <c r="L13" s="26"/>
    </row>
    <row r="14" spans="1:13" s="23" customFormat="1">
      <c r="A14" s="23" t="s">
        <v>368</v>
      </c>
      <c r="B14" s="24">
        <v>45169</v>
      </c>
      <c r="C14" s="24" t="s">
        <v>540</v>
      </c>
      <c r="D14" s="23" t="s">
        <v>369</v>
      </c>
      <c r="E14" s="23" t="s">
        <v>373</v>
      </c>
      <c r="F14" s="23" t="s">
        <v>370</v>
      </c>
      <c r="G14" s="23" t="s">
        <v>371</v>
      </c>
      <c r="H14" s="23" t="s">
        <v>372</v>
      </c>
      <c r="I14" s="23" t="s">
        <v>151</v>
      </c>
    </row>
    <row r="15" spans="1:13" s="23" customFormat="1">
      <c r="A15" s="23" t="s">
        <v>381</v>
      </c>
      <c r="B15" s="24">
        <v>45428</v>
      </c>
      <c r="C15" s="24" t="s">
        <v>540</v>
      </c>
      <c r="D15" s="23" t="s">
        <v>382</v>
      </c>
      <c r="E15" s="23" t="s">
        <v>384</v>
      </c>
      <c r="F15" s="23" t="s">
        <v>370</v>
      </c>
      <c r="G15" s="23" t="s">
        <v>371</v>
      </c>
      <c r="H15" s="23" t="s">
        <v>383</v>
      </c>
      <c r="I15" s="23" t="s">
        <v>31</v>
      </c>
    </row>
    <row r="16" spans="1:13" s="23" customFormat="1">
      <c r="A16" s="23" t="s">
        <v>385</v>
      </c>
      <c r="B16" s="24">
        <v>45428</v>
      </c>
      <c r="C16" s="24" t="s">
        <v>540</v>
      </c>
      <c r="D16" s="23" t="s">
        <v>386</v>
      </c>
      <c r="E16" s="23" t="s">
        <v>387</v>
      </c>
      <c r="F16" s="23" t="s">
        <v>370</v>
      </c>
      <c r="G16" s="23" t="s">
        <v>371</v>
      </c>
      <c r="H16" s="23" t="s">
        <v>266</v>
      </c>
      <c r="I16" s="23" t="s">
        <v>31</v>
      </c>
    </row>
    <row r="17" spans="1:12" s="23" customFormat="1">
      <c r="A17" s="23" t="s">
        <v>388</v>
      </c>
      <c r="B17" s="24">
        <v>45484</v>
      </c>
      <c r="C17" s="24" t="s">
        <v>540</v>
      </c>
      <c r="D17" s="23" t="s">
        <v>220</v>
      </c>
      <c r="E17" s="23" t="s">
        <v>387</v>
      </c>
      <c r="F17" s="23" t="s">
        <v>389</v>
      </c>
      <c r="G17" s="23" t="s">
        <v>390</v>
      </c>
      <c r="H17" s="23" t="s">
        <v>391</v>
      </c>
      <c r="I17" s="23" t="s">
        <v>31</v>
      </c>
    </row>
    <row r="18" spans="1:12" s="23" customFormat="1">
      <c r="A18" s="23" t="s">
        <v>392</v>
      </c>
      <c r="B18" s="24">
        <v>45484</v>
      </c>
      <c r="C18" s="24" t="s">
        <v>540</v>
      </c>
      <c r="D18" s="23" t="s">
        <v>393</v>
      </c>
      <c r="E18" s="23" t="s">
        <v>387</v>
      </c>
      <c r="F18" s="23" t="s">
        <v>389</v>
      </c>
      <c r="G18" s="23" t="s">
        <v>390</v>
      </c>
      <c r="H18" s="23" t="s">
        <v>247</v>
      </c>
      <c r="I18" s="23" t="s">
        <v>31</v>
      </c>
    </row>
    <row r="19" spans="1:12" s="23" customFormat="1">
      <c r="A19" s="23" t="s">
        <v>394</v>
      </c>
      <c r="B19" s="24">
        <v>45554</v>
      </c>
      <c r="C19" s="24" t="s">
        <v>540</v>
      </c>
      <c r="D19" s="23" t="s">
        <v>169</v>
      </c>
      <c r="E19" s="23" t="s">
        <v>398</v>
      </c>
      <c r="F19" s="23" t="s">
        <v>395</v>
      </c>
      <c r="G19" s="23" t="s">
        <v>396</v>
      </c>
      <c r="H19" s="23" t="s">
        <v>397</v>
      </c>
      <c r="I19" s="23" t="s">
        <v>31</v>
      </c>
    </row>
    <row r="20" spans="1:12" s="25" customFormat="1">
      <c r="A20" s="25" t="s">
        <v>461</v>
      </c>
      <c r="B20" s="26">
        <v>45688</v>
      </c>
      <c r="C20" s="26" t="s">
        <v>543</v>
      </c>
      <c r="D20" s="25" t="s">
        <v>462</v>
      </c>
      <c r="E20" s="25" t="s">
        <v>465</v>
      </c>
      <c r="F20" s="25" t="s">
        <v>216</v>
      </c>
      <c r="G20" s="25" t="s">
        <v>463</v>
      </c>
      <c r="H20" s="25" t="s">
        <v>464</v>
      </c>
      <c r="I20" s="25" t="s">
        <v>31</v>
      </c>
      <c r="L20" s="26"/>
    </row>
    <row r="21" spans="1:12" s="25" customFormat="1">
      <c r="A21" s="25" t="s">
        <v>466</v>
      </c>
      <c r="B21" s="26">
        <v>45688</v>
      </c>
      <c r="C21" s="26" t="s">
        <v>540</v>
      </c>
      <c r="D21" s="25" t="s">
        <v>169</v>
      </c>
      <c r="E21" s="25" t="s">
        <v>469</v>
      </c>
      <c r="F21" s="25" t="s">
        <v>216</v>
      </c>
      <c r="G21" s="25" t="s">
        <v>467</v>
      </c>
      <c r="H21" s="25" t="s">
        <v>468</v>
      </c>
      <c r="I21" s="25" t="s">
        <v>31</v>
      </c>
      <c r="L21" s="26"/>
    </row>
    <row r="23" spans="1:12">
      <c r="A23" s="34" t="s">
        <v>544</v>
      </c>
      <c r="E23" s="34" t="s">
        <v>545</v>
      </c>
      <c r="F23" s="34" t="s">
        <v>546</v>
      </c>
      <c r="G23" s="34" t="s">
        <v>547</v>
      </c>
    </row>
    <row r="24" spans="1:12">
      <c r="A24" t="s">
        <v>548</v>
      </c>
      <c r="E24" t="s">
        <v>549</v>
      </c>
      <c r="F24" s="3" t="s">
        <v>550</v>
      </c>
    </row>
    <row r="25" spans="1:12">
      <c r="A25" t="s">
        <v>551</v>
      </c>
      <c r="E25" t="s">
        <v>552</v>
      </c>
      <c r="F25" t="s">
        <v>553</v>
      </c>
    </row>
    <row r="26" spans="1:12">
      <c r="A26" t="s">
        <v>554</v>
      </c>
      <c r="E26" t="s">
        <v>555</v>
      </c>
    </row>
    <row r="28" spans="1:12">
      <c r="A28" s="34" t="s">
        <v>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4C22-4679-D84C-9BDC-3D8B95540FBF}">
  <dimension ref="A1:G112"/>
  <sheetViews>
    <sheetView topLeftCell="E1" workbookViewId="0">
      <selection activeCell="D118" sqref="D118"/>
    </sheetView>
  </sheetViews>
  <sheetFormatPr defaultColWidth="11" defaultRowHeight="15.95"/>
  <cols>
    <col min="5" max="5" width="128.375" customWidth="1"/>
    <col min="6" max="6" width="26" customWidth="1"/>
    <col min="7" max="7" width="17.875" customWidth="1"/>
    <col min="8" max="8" width="20.625" customWidth="1"/>
  </cols>
  <sheetData>
    <row r="1" spans="1:7">
      <c r="A1" t="s">
        <v>0</v>
      </c>
      <c r="B1" t="s">
        <v>4</v>
      </c>
      <c r="C1" t="s">
        <v>5</v>
      </c>
      <c r="D1" t="s">
        <v>9</v>
      </c>
      <c r="E1" t="s">
        <v>6</v>
      </c>
      <c r="F1" t="s">
        <v>8</v>
      </c>
      <c r="G1" t="s">
        <v>10</v>
      </c>
    </row>
    <row r="2" spans="1:7">
      <c r="A2" t="s">
        <v>320</v>
      </c>
      <c r="B2" s="1">
        <v>45401</v>
      </c>
      <c r="C2" t="s">
        <v>321</v>
      </c>
      <c r="D2" t="s">
        <v>323</v>
      </c>
      <c r="E2" t="s">
        <v>557</v>
      </c>
      <c r="F2" t="s">
        <v>266</v>
      </c>
      <c r="G2" t="s">
        <v>31</v>
      </c>
    </row>
    <row r="3" spans="1:7">
      <c r="A3" t="s">
        <v>352</v>
      </c>
      <c r="B3" s="1">
        <v>45415</v>
      </c>
      <c r="C3" t="s">
        <v>346</v>
      </c>
      <c r="D3" t="s">
        <v>355</v>
      </c>
      <c r="E3" t="s">
        <v>557</v>
      </c>
      <c r="F3" t="s">
        <v>354</v>
      </c>
      <c r="G3" t="s">
        <v>31</v>
      </c>
    </row>
    <row r="4" spans="1:7">
      <c r="A4" t="s">
        <v>146</v>
      </c>
      <c r="B4" s="1">
        <v>45138</v>
      </c>
      <c r="C4" t="s">
        <v>21</v>
      </c>
      <c r="D4" t="s">
        <v>150</v>
      </c>
      <c r="E4" t="s">
        <v>147</v>
      </c>
      <c r="G4" t="s">
        <v>151</v>
      </c>
    </row>
    <row r="5" spans="1:7">
      <c r="A5" t="s">
        <v>424</v>
      </c>
      <c r="B5" s="1">
        <v>45401</v>
      </c>
      <c r="C5" t="s">
        <v>425</v>
      </c>
      <c r="D5" t="s">
        <v>427</v>
      </c>
      <c r="E5" t="s">
        <v>74</v>
      </c>
      <c r="F5" t="s">
        <v>266</v>
      </c>
      <c r="G5" t="s">
        <v>31</v>
      </c>
    </row>
    <row r="6" spans="1:7">
      <c r="A6" t="s">
        <v>72</v>
      </c>
      <c r="B6" s="1">
        <v>44546</v>
      </c>
      <c r="C6" t="s">
        <v>73</v>
      </c>
      <c r="E6" t="s">
        <v>74</v>
      </c>
      <c r="G6" t="s">
        <v>18</v>
      </c>
    </row>
    <row r="7" spans="1:7">
      <c r="A7" t="s">
        <v>385</v>
      </c>
      <c r="B7" s="1">
        <v>45428</v>
      </c>
      <c r="C7" t="s">
        <v>386</v>
      </c>
      <c r="D7" t="s">
        <v>387</v>
      </c>
      <c r="E7" t="s">
        <v>558</v>
      </c>
      <c r="F7" t="s">
        <v>266</v>
      </c>
      <c r="G7" t="s">
        <v>31</v>
      </c>
    </row>
    <row r="8" spans="1:7">
      <c r="A8" t="s">
        <v>461</v>
      </c>
      <c r="B8" s="1">
        <v>45688</v>
      </c>
      <c r="C8" t="s">
        <v>462</v>
      </c>
      <c r="D8" t="s">
        <v>465</v>
      </c>
      <c r="E8" t="s">
        <v>559</v>
      </c>
      <c r="F8" t="s">
        <v>560</v>
      </c>
      <c r="G8" t="s">
        <v>31</v>
      </c>
    </row>
    <row r="9" spans="1:7">
      <c r="A9" t="s">
        <v>466</v>
      </c>
      <c r="B9" s="1">
        <v>45688</v>
      </c>
      <c r="C9" t="s">
        <v>169</v>
      </c>
      <c r="D9" t="s">
        <v>469</v>
      </c>
      <c r="E9" t="s">
        <v>559</v>
      </c>
      <c r="F9" t="s">
        <v>468</v>
      </c>
      <c r="G9" t="s">
        <v>31</v>
      </c>
    </row>
    <row r="10" spans="1:7">
      <c r="A10" t="s">
        <v>381</v>
      </c>
      <c r="B10" s="1">
        <v>45428</v>
      </c>
      <c r="C10" t="s">
        <v>404</v>
      </c>
      <c r="D10" t="s">
        <v>384</v>
      </c>
      <c r="E10" t="s">
        <v>561</v>
      </c>
      <c r="F10" t="s">
        <v>562</v>
      </c>
      <c r="G10" t="s">
        <v>31</v>
      </c>
    </row>
    <row r="11" spans="1:7">
      <c r="A11" t="s">
        <v>206</v>
      </c>
      <c r="B11" s="1">
        <v>44651</v>
      </c>
      <c r="C11" t="s">
        <v>563</v>
      </c>
      <c r="D11" t="s">
        <v>211</v>
      </c>
      <c r="E11" t="s">
        <v>564</v>
      </c>
      <c r="G11" t="s">
        <v>18</v>
      </c>
    </row>
    <row r="12" spans="1:7">
      <c r="A12" t="s">
        <v>224</v>
      </c>
      <c r="B12" s="1">
        <v>44714</v>
      </c>
      <c r="C12" t="s">
        <v>225</v>
      </c>
      <c r="D12" t="s">
        <v>218</v>
      </c>
      <c r="E12" t="s">
        <v>565</v>
      </c>
      <c r="F12" t="s">
        <v>566</v>
      </c>
      <c r="G12" t="s">
        <v>18</v>
      </c>
    </row>
    <row r="13" spans="1:7">
      <c r="A13" t="s">
        <v>215</v>
      </c>
      <c r="B13" s="1">
        <v>44713</v>
      </c>
      <c r="C13" t="s">
        <v>169</v>
      </c>
      <c r="D13" t="s">
        <v>218</v>
      </c>
      <c r="E13" t="s">
        <v>567</v>
      </c>
      <c r="G13" t="s">
        <v>18</v>
      </c>
    </row>
    <row r="14" spans="1:7">
      <c r="A14" t="s">
        <v>368</v>
      </c>
      <c r="B14" s="1">
        <v>45169</v>
      </c>
      <c r="C14" t="s">
        <v>369</v>
      </c>
      <c r="D14" t="s">
        <v>373</v>
      </c>
      <c r="E14" t="s">
        <v>568</v>
      </c>
      <c r="F14" t="s">
        <v>372</v>
      </c>
      <c r="G14" t="s">
        <v>151</v>
      </c>
    </row>
    <row r="15" spans="1:7">
      <c r="A15" t="s">
        <v>67</v>
      </c>
      <c r="B15" s="1">
        <v>44546</v>
      </c>
      <c r="C15" t="s">
        <v>68</v>
      </c>
      <c r="D15" t="s">
        <v>71</v>
      </c>
      <c r="E15" t="s">
        <v>569</v>
      </c>
      <c r="G15" t="s">
        <v>18</v>
      </c>
    </row>
    <row r="16" spans="1:7">
      <c r="A16" t="s">
        <v>227</v>
      </c>
      <c r="B16" s="1">
        <v>44714</v>
      </c>
      <c r="C16" t="s">
        <v>228</v>
      </c>
      <c r="D16" t="s">
        <v>218</v>
      </c>
      <c r="E16" t="s">
        <v>570</v>
      </c>
      <c r="F16" t="s">
        <v>327</v>
      </c>
      <c r="G16" t="s">
        <v>18</v>
      </c>
    </row>
    <row r="17" spans="1:7">
      <c r="A17" t="s">
        <v>61</v>
      </c>
      <c r="B17" s="1">
        <v>44546</v>
      </c>
      <c r="C17" t="s">
        <v>62</v>
      </c>
      <c r="D17" t="s">
        <v>66</v>
      </c>
      <c r="E17" t="s">
        <v>63</v>
      </c>
      <c r="G17" t="s">
        <v>18</v>
      </c>
    </row>
    <row r="18" spans="1:7">
      <c r="A18" t="s">
        <v>440</v>
      </c>
      <c r="B18" s="1">
        <v>45688</v>
      </c>
      <c r="C18" t="s">
        <v>441</v>
      </c>
      <c r="D18" t="s">
        <v>445</v>
      </c>
      <c r="E18" t="s">
        <v>571</v>
      </c>
      <c r="F18" t="s">
        <v>444</v>
      </c>
      <c r="G18" t="s">
        <v>31</v>
      </c>
    </row>
    <row r="19" spans="1:7">
      <c r="A19" t="s">
        <v>409</v>
      </c>
      <c r="B19" s="1">
        <v>45372</v>
      </c>
      <c r="C19" t="s">
        <v>410</v>
      </c>
      <c r="D19" t="s">
        <v>412</v>
      </c>
      <c r="E19" t="s">
        <v>572</v>
      </c>
      <c r="F19" t="s">
        <v>34</v>
      </c>
      <c r="G19" t="s">
        <v>31</v>
      </c>
    </row>
    <row r="20" spans="1:7">
      <c r="A20" t="s">
        <v>235</v>
      </c>
      <c r="B20" s="1">
        <v>45190</v>
      </c>
      <c r="C20" t="s">
        <v>573</v>
      </c>
      <c r="D20" t="s">
        <v>240</v>
      </c>
      <c r="E20" t="s">
        <v>238</v>
      </c>
      <c r="F20" t="s">
        <v>239</v>
      </c>
      <c r="G20" t="s">
        <v>151</v>
      </c>
    </row>
    <row r="21" spans="1:7">
      <c r="A21" t="s">
        <v>219</v>
      </c>
      <c r="B21" s="1">
        <v>44713</v>
      </c>
      <c r="C21" t="s">
        <v>220</v>
      </c>
      <c r="D21" t="s">
        <v>223</v>
      </c>
      <c r="E21" t="s">
        <v>221</v>
      </c>
      <c r="G21" t="s">
        <v>18</v>
      </c>
    </row>
    <row r="22" spans="1:7">
      <c r="A22" t="s">
        <v>399</v>
      </c>
      <c r="B22" s="1">
        <v>45210</v>
      </c>
      <c r="C22" t="s">
        <v>194</v>
      </c>
      <c r="D22" t="s">
        <v>174</v>
      </c>
      <c r="E22" t="s">
        <v>574</v>
      </c>
      <c r="F22" t="s">
        <v>266</v>
      </c>
      <c r="G22" t="s">
        <v>25</v>
      </c>
    </row>
    <row r="23" spans="1:7">
      <c r="A23" t="s">
        <v>189</v>
      </c>
      <c r="B23" s="1">
        <v>45100</v>
      </c>
      <c r="C23" t="s">
        <v>21</v>
      </c>
      <c r="D23" t="s">
        <v>192</v>
      </c>
      <c r="E23" t="s">
        <v>574</v>
      </c>
      <c r="G23" t="s">
        <v>85</v>
      </c>
    </row>
    <row r="24" spans="1:7">
      <c r="A24" t="s">
        <v>212</v>
      </c>
      <c r="B24" s="1">
        <v>45100</v>
      </c>
      <c r="C24" t="s">
        <v>213</v>
      </c>
      <c r="D24" t="s">
        <v>214</v>
      </c>
      <c r="E24" t="s">
        <v>574</v>
      </c>
      <c r="G24" t="s">
        <v>85</v>
      </c>
    </row>
    <row r="25" spans="1:7">
      <c r="A25" t="s">
        <v>403</v>
      </c>
      <c r="B25" s="1">
        <v>45302</v>
      </c>
      <c r="C25" t="s">
        <v>404</v>
      </c>
      <c r="D25" t="s">
        <v>405</v>
      </c>
      <c r="E25" t="s">
        <v>190</v>
      </c>
      <c r="F25" t="s">
        <v>266</v>
      </c>
      <c r="G25" t="s">
        <v>31</v>
      </c>
    </row>
    <row r="26" spans="1:7">
      <c r="A26" t="s">
        <v>193</v>
      </c>
      <c r="B26" s="1">
        <v>45372</v>
      </c>
      <c r="C26" t="s">
        <v>194</v>
      </c>
      <c r="D26" t="s">
        <v>196</v>
      </c>
      <c r="E26" t="s">
        <v>190</v>
      </c>
      <c r="F26" t="s">
        <v>575</v>
      </c>
      <c r="G26" t="s">
        <v>197</v>
      </c>
    </row>
    <row r="27" spans="1:7">
      <c r="A27" t="s">
        <v>198</v>
      </c>
      <c r="B27" s="1">
        <v>45547</v>
      </c>
      <c r="C27" t="s">
        <v>169</v>
      </c>
      <c r="D27" t="s">
        <v>200</v>
      </c>
      <c r="E27" t="s">
        <v>190</v>
      </c>
      <c r="F27" t="s">
        <v>247</v>
      </c>
      <c r="G27" t="s">
        <v>201</v>
      </c>
    </row>
    <row r="28" spans="1:7">
      <c r="A28" t="s">
        <v>202</v>
      </c>
      <c r="B28" s="1">
        <v>45547</v>
      </c>
      <c r="C28" t="s">
        <v>203</v>
      </c>
      <c r="D28" t="s">
        <v>205</v>
      </c>
      <c r="E28" t="s">
        <v>190</v>
      </c>
      <c r="F28" t="s">
        <v>247</v>
      </c>
      <c r="G28" t="s">
        <v>201</v>
      </c>
    </row>
    <row r="29" spans="1:7">
      <c r="A29" t="s">
        <v>32</v>
      </c>
      <c r="B29" s="1">
        <v>45323</v>
      </c>
      <c r="C29" t="s">
        <v>33</v>
      </c>
      <c r="D29" t="s">
        <v>35</v>
      </c>
      <c r="E29" t="s">
        <v>576</v>
      </c>
      <c r="F29" t="s">
        <v>34</v>
      </c>
      <c r="G29" t="s">
        <v>31</v>
      </c>
    </row>
    <row r="30" spans="1:7">
      <c r="A30" t="s">
        <v>292</v>
      </c>
      <c r="B30" s="1">
        <v>45575</v>
      </c>
      <c r="C30" t="s">
        <v>293</v>
      </c>
      <c r="D30" t="s">
        <v>296</v>
      </c>
      <c r="E30" t="s">
        <v>577</v>
      </c>
      <c r="F30" t="s">
        <v>300</v>
      </c>
      <c r="G30" t="s">
        <v>31</v>
      </c>
    </row>
    <row r="31" spans="1:7">
      <c r="A31" t="s">
        <v>400</v>
      </c>
      <c r="B31" s="1">
        <v>45302</v>
      </c>
      <c r="C31" t="s">
        <v>245</v>
      </c>
      <c r="D31" t="s">
        <v>402</v>
      </c>
      <c r="E31" t="s">
        <v>578</v>
      </c>
      <c r="F31" t="s">
        <v>579</v>
      </c>
      <c r="G31" t="s">
        <v>31</v>
      </c>
    </row>
    <row r="32" spans="1:7">
      <c r="A32" t="s">
        <v>56</v>
      </c>
      <c r="B32" s="1">
        <v>45674</v>
      </c>
      <c r="C32" t="s">
        <v>57</v>
      </c>
      <c r="D32" t="s">
        <v>54</v>
      </c>
      <c r="E32" t="s">
        <v>580</v>
      </c>
      <c r="F32" t="s">
        <v>581</v>
      </c>
      <c r="G32" t="s">
        <v>55</v>
      </c>
    </row>
    <row r="33" spans="1:7">
      <c r="A33" t="s">
        <v>231</v>
      </c>
      <c r="B33" s="1">
        <v>44812</v>
      </c>
      <c r="C33" t="s">
        <v>183</v>
      </c>
      <c r="E33" t="s">
        <v>582</v>
      </c>
      <c r="G33" t="s">
        <v>80</v>
      </c>
    </row>
    <row r="34" spans="1:7">
      <c r="A34" t="s">
        <v>182</v>
      </c>
      <c r="B34" s="1">
        <v>44813</v>
      </c>
      <c r="C34" t="s">
        <v>183</v>
      </c>
      <c r="E34" t="s">
        <v>583</v>
      </c>
      <c r="G34" t="s">
        <v>80</v>
      </c>
    </row>
    <row r="35" spans="1:7">
      <c r="A35" t="s">
        <v>446</v>
      </c>
      <c r="B35" s="1">
        <v>45220</v>
      </c>
      <c r="C35" t="s">
        <v>447</v>
      </c>
      <c r="D35" t="s">
        <v>451</v>
      </c>
      <c r="E35" t="s">
        <v>584</v>
      </c>
      <c r="F35" t="s">
        <v>450</v>
      </c>
      <c r="G35" t="s">
        <v>31</v>
      </c>
    </row>
    <row r="36" spans="1:7">
      <c r="A36" t="s">
        <v>20</v>
      </c>
      <c r="B36" s="1">
        <v>45141</v>
      </c>
      <c r="C36" t="s">
        <v>21</v>
      </c>
      <c r="D36" t="s">
        <v>24</v>
      </c>
      <c r="E36" t="s">
        <v>585</v>
      </c>
      <c r="G36" t="s">
        <v>25</v>
      </c>
    </row>
    <row r="37" spans="1:7">
      <c r="A37" s="5" t="s">
        <v>586</v>
      </c>
      <c r="B37" s="1">
        <v>45226</v>
      </c>
      <c r="C37" t="s">
        <v>194</v>
      </c>
      <c r="D37" t="s">
        <v>267</v>
      </c>
      <c r="E37" t="s">
        <v>265</v>
      </c>
      <c r="F37" t="s">
        <v>266</v>
      </c>
      <c r="G37" t="s">
        <v>25</v>
      </c>
    </row>
    <row r="38" spans="1:7">
      <c r="A38" t="s">
        <v>357</v>
      </c>
      <c r="B38" s="1">
        <v>45701</v>
      </c>
      <c r="C38" t="s">
        <v>587</v>
      </c>
      <c r="D38" t="s">
        <v>359</v>
      </c>
      <c r="E38" t="s">
        <v>331</v>
      </c>
      <c r="F38" t="s">
        <v>358</v>
      </c>
      <c r="G38" t="s">
        <v>360</v>
      </c>
    </row>
    <row r="39" spans="1:7">
      <c r="A39" t="s">
        <v>104</v>
      </c>
      <c r="B39" s="1">
        <v>44840</v>
      </c>
      <c r="C39" t="s">
        <v>588</v>
      </c>
      <c r="E39" t="s">
        <v>589</v>
      </c>
      <c r="G39" t="s">
        <v>18</v>
      </c>
    </row>
    <row r="40" spans="1:7">
      <c r="A40" t="s">
        <v>276</v>
      </c>
      <c r="B40" s="1">
        <v>45673</v>
      </c>
      <c r="C40" t="s">
        <v>169</v>
      </c>
      <c r="D40" t="s">
        <v>278</v>
      </c>
      <c r="E40" t="s">
        <v>277</v>
      </c>
      <c r="F40" t="s">
        <v>247</v>
      </c>
      <c r="G40" t="s">
        <v>279</v>
      </c>
    </row>
    <row r="41" spans="1:7">
      <c r="A41" t="s">
        <v>241</v>
      </c>
      <c r="B41" s="1">
        <v>45323</v>
      </c>
      <c r="C41" t="s">
        <v>27</v>
      </c>
      <c r="D41" t="s">
        <v>243</v>
      </c>
      <c r="E41" t="s">
        <v>590</v>
      </c>
      <c r="F41" t="s">
        <v>34</v>
      </c>
      <c r="G41" t="s">
        <v>31</v>
      </c>
    </row>
    <row r="42" spans="1:7">
      <c r="A42" t="s">
        <v>271</v>
      </c>
      <c r="B42" s="1">
        <v>45575</v>
      </c>
      <c r="C42" t="s">
        <v>591</v>
      </c>
      <c r="D42" t="s">
        <v>275</v>
      </c>
      <c r="E42" t="s">
        <v>83</v>
      </c>
      <c r="F42" t="s">
        <v>274</v>
      </c>
      <c r="G42" t="s">
        <v>31</v>
      </c>
    </row>
    <row r="43" spans="1:7">
      <c r="A43" t="s">
        <v>297</v>
      </c>
      <c r="B43" s="1">
        <v>45575</v>
      </c>
      <c r="C43" t="s">
        <v>305</v>
      </c>
      <c r="D43" t="s">
        <v>178</v>
      </c>
      <c r="E43" t="s">
        <v>83</v>
      </c>
      <c r="F43" t="s">
        <v>300</v>
      </c>
      <c r="G43" t="s">
        <v>31</v>
      </c>
    </row>
    <row r="44" spans="1:7">
      <c r="A44" t="s">
        <v>268</v>
      </c>
      <c r="B44" s="1">
        <v>45575</v>
      </c>
      <c r="C44" t="s">
        <v>169</v>
      </c>
      <c r="D44" t="s">
        <v>270</v>
      </c>
      <c r="E44" t="s">
        <v>592</v>
      </c>
      <c r="F44" t="s">
        <v>247</v>
      </c>
      <c r="G44" t="s">
        <v>31</v>
      </c>
    </row>
    <row r="45" spans="1:7">
      <c r="A45" t="s">
        <v>301</v>
      </c>
      <c r="B45" s="1">
        <v>45575</v>
      </c>
      <c r="C45" t="s">
        <v>302</v>
      </c>
      <c r="D45" t="s">
        <v>178</v>
      </c>
      <c r="E45" t="s">
        <v>593</v>
      </c>
      <c r="F45" t="s">
        <v>247</v>
      </c>
      <c r="G45" t="s">
        <v>31</v>
      </c>
    </row>
    <row r="46" spans="1:7">
      <c r="A46" t="s">
        <v>470</v>
      </c>
      <c r="B46" s="1">
        <v>45694</v>
      </c>
      <c r="C46" t="s">
        <v>27</v>
      </c>
      <c r="D46" t="s">
        <v>359</v>
      </c>
      <c r="E46" t="s">
        <v>594</v>
      </c>
      <c r="F46" t="s">
        <v>247</v>
      </c>
      <c r="G46" t="s">
        <v>31</v>
      </c>
    </row>
    <row r="47" spans="1:7">
      <c r="A47" t="s">
        <v>280</v>
      </c>
      <c r="B47" s="1">
        <v>45673</v>
      </c>
      <c r="C47" t="s">
        <v>281</v>
      </c>
      <c r="D47" t="s">
        <v>283</v>
      </c>
      <c r="E47" t="s">
        <v>595</v>
      </c>
      <c r="F47" t="s">
        <v>247</v>
      </c>
      <c r="G47" t="s">
        <v>279</v>
      </c>
    </row>
    <row r="48" spans="1:7">
      <c r="A48" t="s">
        <v>456</v>
      </c>
      <c r="B48" s="1">
        <v>45561</v>
      </c>
      <c r="C48" t="s">
        <v>169</v>
      </c>
      <c r="D48" t="s">
        <v>459</v>
      </c>
      <c r="E48" t="s">
        <v>596</v>
      </c>
      <c r="F48" t="s">
        <v>458</v>
      </c>
      <c r="G48" t="s">
        <v>460</v>
      </c>
    </row>
    <row r="49" spans="1:7">
      <c r="A49" t="s">
        <v>50</v>
      </c>
      <c r="B49" s="1">
        <v>45674</v>
      </c>
      <c r="C49" t="s">
        <v>51</v>
      </c>
      <c r="D49" t="s">
        <v>54</v>
      </c>
      <c r="E49" t="s">
        <v>597</v>
      </c>
      <c r="F49" t="s">
        <v>53</v>
      </c>
      <c r="G49" t="s">
        <v>55</v>
      </c>
    </row>
    <row r="50" spans="1:7">
      <c r="A50" t="s">
        <v>252</v>
      </c>
      <c r="B50" s="1">
        <v>44896</v>
      </c>
      <c r="C50" t="s">
        <v>169</v>
      </c>
      <c r="D50" t="s">
        <v>255</v>
      </c>
      <c r="E50" t="s">
        <v>15</v>
      </c>
      <c r="G50" t="s">
        <v>18</v>
      </c>
    </row>
    <row r="51" spans="1:7">
      <c r="A51" t="s">
        <v>256</v>
      </c>
      <c r="B51" s="1">
        <v>45134</v>
      </c>
      <c r="C51" t="s">
        <v>257</v>
      </c>
      <c r="D51" t="s">
        <v>259</v>
      </c>
      <c r="E51" t="s">
        <v>15</v>
      </c>
      <c r="G51" t="s">
        <v>260</v>
      </c>
    </row>
    <row r="52" spans="1:7">
      <c r="A52" t="s">
        <v>261</v>
      </c>
      <c r="B52" s="1">
        <v>45134</v>
      </c>
      <c r="C52" t="s">
        <v>48</v>
      </c>
      <c r="D52" t="s">
        <v>263</v>
      </c>
      <c r="E52" t="s">
        <v>15</v>
      </c>
      <c r="G52" t="s">
        <v>31</v>
      </c>
    </row>
    <row r="53" spans="1:7">
      <c r="A53" t="s">
        <v>284</v>
      </c>
      <c r="B53" s="1">
        <v>44896</v>
      </c>
      <c r="C53" t="s">
        <v>598</v>
      </c>
      <c r="D53" t="s">
        <v>287</v>
      </c>
      <c r="E53" t="s">
        <v>15</v>
      </c>
      <c r="G53" t="s">
        <v>18</v>
      </c>
    </row>
    <row r="54" spans="1:7">
      <c r="A54" t="s">
        <v>288</v>
      </c>
      <c r="B54" s="1">
        <v>44896</v>
      </c>
      <c r="C54" t="s">
        <v>289</v>
      </c>
      <c r="D54" t="s">
        <v>291</v>
      </c>
      <c r="E54" t="s">
        <v>15</v>
      </c>
      <c r="G54" t="s">
        <v>18</v>
      </c>
    </row>
    <row r="55" spans="1:7">
      <c r="A55" t="s">
        <v>329</v>
      </c>
      <c r="B55" s="1">
        <v>45015</v>
      </c>
      <c r="C55" t="s">
        <v>330</v>
      </c>
      <c r="D55" t="s">
        <v>333</v>
      </c>
      <c r="E55" t="s">
        <v>15</v>
      </c>
      <c r="G55" t="s">
        <v>31</v>
      </c>
    </row>
    <row r="56" spans="1:7">
      <c r="A56" t="s">
        <v>334</v>
      </c>
      <c r="B56" s="1">
        <v>45100</v>
      </c>
      <c r="C56" t="s">
        <v>335</v>
      </c>
      <c r="D56" t="s">
        <v>337</v>
      </c>
      <c r="E56" t="s">
        <v>15</v>
      </c>
      <c r="F56" t="s">
        <v>599</v>
      </c>
      <c r="G56" t="s">
        <v>31</v>
      </c>
    </row>
    <row r="57" spans="1:7">
      <c r="A57" t="s">
        <v>341</v>
      </c>
      <c r="B57" s="1">
        <v>45401</v>
      </c>
      <c r="C57" t="s">
        <v>330</v>
      </c>
      <c r="D57" t="s">
        <v>344</v>
      </c>
      <c r="E57" t="s">
        <v>15</v>
      </c>
      <c r="F57" t="s">
        <v>343</v>
      </c>
      <c r="G57" t="s">
        <v>31</v>
      </c>
    </row>
    <row r="58" spans="1:7">
      <c r="A58" t="s">
        <v>345</v>
      </c>
      <c r="B58" s="1">
        <v>45401</v>
      </c>
      <c r="C58" t="s">
        <v>346</v>
      </c>
      <c r="D58" t="s">
        <v>347</v>
      </c>
      <c r="E58" t="s">
        <v>15</v>
      </c>
      <c r="F58" t="s">
        <v>266</v>
      </c>
      <c r="G58" t="s">
        <v>31</v>
      </c>
    </row>
    <row r="59" spans="1:7">
      <c r="A59" t="s">
        <v>348</v>
      </c>
      <c r="B59" s="1">
        <v>45085</v>
      </c>
      <c r="C59" t="s">
        <v>600</v>
      </c>
      <c r="D59" t="s">
        <v>350</v>
      </c>
      <c r="E59" t="s">
        <v>15</v>
      </c>
      <c r="G59" t="s">
        <v>31</v>
      </c>
    </row>
    <row r="60" spans="1:7">
      <c r="A60" t="s">
        <v>452</v>
      </c>
      <c r="B60" s="1">
        <v>45492</v>
      </c>
      <c r="C60" t="s">
        <v>453</v>
      </c>
      <c r="D60" t="s">
        <v>454</v>
      </c>
      <c r="E60" t="s">
        <v>15</v>
      </c>
      <c r="F60" t="s">
        <v>247</v>
      </c>
      <c r="G60" t="s">
        <v>455</v>
      </c>
    </row>
    <row r="61" spans="1:7">
      <c r="A61" t="s">
        <v>12</v>
      </c>
      <c r="B61" s="1">
        <v>44532</v>
      </c>
      <c r="C61" t="s">
        <v>601</v>
      </c>
      <c r="E61" t="s">
        <v>15</v>
      </c>
      <c r="G61" t="s">
        <v>18</v>
      </c>
    </row>
    <row r="62" spans="1:7">
      <c r="A62" t="s">
        <v>26</v>
      </c>
      <c r="B62" s="1">
        <v>45323</v>
      </c>
      <c r="C62" t="s">
        <v>27</v>
      </c>
      <c r="D62" t="s">
        <v>30</v>
      </c>
      <c r="E62" t="s">
        <v>15</v>
      </c>
      <c r="F62" t="s">
        <v>34</v>
      </c>
      <c r="G62" t="s">
        <v>31</v>
      </c>
    </row>
    <row r="63" spans="1:7">
      <c r="A63" t="s">
        <v>77</v>
      </c>
      <c r="B63" s="1">
        <v>44602</v>
      </c>
      <c r="C63" t="s">
        <v>68</v>
      </c>
      <c r="E63" t="s">
        <v>15</v>
      </c>
      <c r="G63" t="s">
        <v>80</v>
      </c>
    </row>
    <row r="64" spans="1:7">
      <c r="A64" t="s">
        <v>81</v>
      </c>
      <c r="B64" s="1">
        <v>44602</v>
      </c>
      <c r="C64" t="s">
        <v>82</v>
      </c>
      <c r="E64" t="s">
        <v>15</v>
      </c>
      <c r="G64" t="s">
        <v>85</v>
      </c>
    </row>
    <row r="65" spans="1:7">
      <c r="A65" t="s">
        <v>92</v>
      </c>
      <c r="B65" s="1">
        <v>44637</v>
      </c>
      <c r="C65" t="s">
        <v>93</v>
      </c>
      <c r="E65" t="s">
        <v>15</v>
      </c>
      <c r="G65" t="s">
        <v>18</v>
      </c>
    </row>
    <row r="66" spans="1:7">
      <c r="A66" t="s">
        <v>118</v>
      </c>
      <c r="B66" s="1">
        <v>44931</v>
      </c>
      <c r="C66" t="s">
        <v>119</v>
      </c>
      <c r="D66" t="s">
        <v>120</v>
      </c>
      <c r="E66" t="s">
        <v>15</v>
      </c>
      <c r="G66" t="s">
        <v>18</v>
      </c>
    </row>
    <row r="67" spans="1:7">
      <c r="A67" t="s">
        <v>121</v>
      </c>
      <c r="B67" s="1">
        <v>44952</v>
      </c>
      <c r="C67" t="s">
        <v>43</v>
      </c>
      <c r="E67" t="s">
        <v>15</v>
      </c>
      <c r="G67" t="s">
        <v>123</v>
      </c>
    </row>
    <row r="68" spans="1:7">
      <c r="A68" t="s">
        <v>124</v>
      </c>
      <c r="B68" s="1">
        <v>44567</v>
      </c>
      <c r="C68" t="s">
        <v>602</v>
      </c>
      <c r="E68" t="s">
        <v>15</v>
      </c>
      <c r="G68" t="s">
        <v>18</v>
      </c>
    </row>
    <row r="69" spans="1:7">
      <c r="A69" t="s">
        <v>127</v>
      </c>
      <c r="B69" s="1">
        <v>44567</v>
      </c>
      <c r="C69" t="s">
        <v>128</v>
      </c>
      <c r="E69" t="s">
        <v>15</v>
      </c>
      <c r="G69" t="s">
        <v>18</v>
      </c>
    </row>
    <row r="70" spans="1:7">
      <c r="A70" t="s">
        <v>130</v>
      </c>
      <c r="B70" s="1">
        <v>44859</v>
      </c>
      <c r="C70" t="s">
        <v>131</v>
      </c>
      <c r="E70" t="s">
        <v>15</v>
      </c>
      <c r="G70" t="s">
        <v>18</v>
      </c>
    </row>
    <row r="71" spans="1:7">
      <c r="A71" t="s">
        <v>134</v>
      </c>
      <c r="B71" s="1">
        <v>44860</v>
      </c>
      <c r="C71" t="s">
        <v>135</v>
      </c>
      <c r="E71" t="s">
        <v>15</v>
      </c>
      <c r="G71" t="s">
        <v>18</v>
      </c>
    </row>
    <row r="72" spans="1:7">
      <c r="A72" t="s">
        <v>136</v>
      </c>
      <c r="B72" s="1">
        <v>44882</v>
      </c>
      <c r="C72" t="s">
        <v>137</v>
      </c>
      <c r="D72" t="s">
        <v>139</v>
      </c>
      <c r="E72" t="s">
        <v>15</v>
      </c>
      <c r="G72" t="s">
        <v>18</v>
      </c>
    </row>
    <row r="73" spans="1:7">
      <c r="A73" t="s">
        <v>140</v>
      </c>
      <c r="B73" s="1">
        <v>44987</v>
      </c>
      <c r="C73" t="s">
        <v>141</v>
      </c>
      <c r="E73" t="s">
        <v>15</v>
      </c>
      <c r="G73" t="s">
        <v>143</v>
      </c>
    </row>
    <row r="74" spans="1:7">
      <c r="A74" t="s">
        <v>144</v>
      </c>
      <c r="B74" s="1">
        <v>44987</v>
      </c>
      <c r="C74" t="s">
        <v>145</v>
      </c>
      <c r="E74" t="s">
        <v>15</v>
      </c>
      <c r="G74" t="s">
        <v>143</v>
      </c>
    </row>
    <row r="75" spans="1:7">
      <c r="A75" t="s">
        <v>179</v>
      </c>
      <c r="B75" s="1">
        <v>44631</v>
      </c>
      <c r="C75" t="s">
        <v>603</v>
      </c>
      <c r="E75" t="s">
        <v>15</v>
      </c>
      <c r="G75" t="s">
        <v>80</v>
      </c>
    </row>
    <row r="76" spans="1:7">
      <c r="A76" t="s">
        <v>186</v>
      </c>
      <c r="B76" s="1">
        <v>45036</v>
      </c>
      <c r="C76" t="s">
        <v>180</v>
      </c>
      <c r="D76" t="s">
        <v>188</v>
      </c>
      <c r="E76" t="s">
        <v>15</v>
      </c>
      <c r="G76" t="s">
        <v>31</v>
      </c>
    </row>
    <row r="77" spans="1:7">
      <c r="A77" t="s">
        <v>249</v>
      </c>
      <c r="B77" s="1">
        <v>44883</v>
      </c>
      <c r="C77" t="s">
        <v>250</v>
      </c>
      <c r="D77" t="s">
        <v>251</v>
      </c>
      <c r="E77" t="s">
        <v>15</v>
      </c>
      <c r="G77" t="s">
        <v>18</v>
      </c>
    </row>
    <row r="78" spans="1:7">
      <c r="A78" t="s">
        <v>175</v>
      </c>
      <c r="B78" s="1">
        <v>45603</v>
      </c>
      <c r="C78" t="s">
        <v>176</v>
      </c>
      <c r="D78" t="s">
        <v>178</v>
      </c>
      <c r="E78" t="s">
        <v>177</v>
      </c>
      <c r="F78" t="s">
        <v>247</v>
      </c>
      <c r="G78" t="s">
        <v>31</v>
      </c>
    </row>
    <row r="79" spans="1:7">
      <c r="A79" t="s">
        <v>428</v>
      </c>
      <c r="B79" s="1">
        <v>45631</v>
      </c>
      <c r="C79" t="s">
        <v>604</v>
      </c>
      <c r="D79" t="s">
        <v>430</v>
      </c>
      <c r="E79" t="s">
        <v>605</v>
      </c>
      <c r="F79" t="s">
        <v>247</v>
      </c>
      <c r="G79" t="s">
        <v>31</v>
      </c>
    </row>
    <row r="80" spans="1:7">
      <c r="A80" t="s">
        <v>431</v>
      </c>
      <c r="B80" s="1">
        <v>45631</v>
      </c>
      <c r="C80" t="s">
        <v>432</v>
      </c>
      <c r="D80" t="s">
        <v>434</v>
      </c>
      <c r="E80" t="s">
        <v>606</v>
      </c>
      <c r="F80" t="s">
        <v>247</v>
      </c>
      <c r="G80" t="s">
        <v>31</v>
      </c>
    </row>
    <row r="81" spans="1:7">
      <c r="A81" t="s">
        <v>163</v>
      </c>
      <c r="B81" s="1">
        <v>45246</v>
      </c>
      <c r="C81" t="s">
        <v>164</v>
      </c>
      <c r="D81" t="s">
        <v>166</v>
      </c>
      <c r="E81" t="s">
        <v>607</v>
      </c>
      <c r="F81" t="s">
        <v>608</v>
      </c>
      <c r="G81" t="s">
        <v>167</v>
      </c>
    </row>
    <row r="82" spans="1:7">
      <c r="A82" t="s">
        <v>159</v>
      </c>
      <c r="B82" s="1">
        <v>45155</v>
      </c>
      <c r="C82" t="s">
        <v>609</v>
      </c>
      <c r="D82" t="s">
        <v>162</v>
      </c>
      <c r="E82" t="s">
        <v>610</v>
      </c>
      <c r="G82" t="s">
        <v>151</v>
      </c>
    </row>
    <row r="83" spans="1:7">
      <c r="A83" t="s">
        <v>315</v>
      </c>
      <c r="B83" s="1">
        <v>45197</v>
      </c>
      <c r="C83" t="s">
        <v>316</v>
      </c>
      <c r="D83" t="s">
        <v>319</v>
      </c>
      <c r="E83" t="s">
        <v>611</v>
      </c>
      <c r="F83" t="s">
        <v>612</v>
      </c>
      <c r="G83" t="s">
        <v>260</v>
      </c>
    </row>
    <row r="84" spans="1:7">
      <c r="A84" t="s">
        <v>374</v>
      </c>
      <c r="B84" s="1">
        <v>45169</v>
      </c>
      <c r="C84" t="s">
        <v>375</v>
      </c>
      <c r="D84" t="s">
        <v>377</v>
      </c>
      <c r="E84" t="s">
        <v>613</v>
      </c>
      <c r="F84" t="s">
        <v>614</v>
      </c>
      <c r="G84" t="s">
        <v>151</v>
      </c>
    </row>
    <row r="85" spans="1:7">
      <c r="A85" t="s">
        <v>388</v>
      </c>
      <c r="B85" s="1">
        <v>45484</v>
      </c>
      <c r="C85" t="s">
        <v>220</v>
      </c>
      <c r="D85" t="s">
        <v>387</v>
      </c>
      <c r="E85" t="s">
        <v>615</v>
      </c>
      <c r="F85" t="s">
        <v>391</v>
      </c>
      <c r="G85" t="s">
        <v>31</v>
      </c>
    </row>
    <row r="86" spans="1:7">
      <c r="A86" t="s">
        <v>392</v>
      </c>
      <c r="B86" s="1">
        <v>45484</v>
      </c>
      <c r="C86" t="s">
        <v>393</v>
      </c>
      <c r="D86" t="s">
        <v>387</v>
      </c>
      <c r="E86" t="s">
        <v>615</v>
      </c>
      <c r="F86" t="s">
        <v>247</v>
      </c>
      <c r="G86" t="s">
        <v>31</v>
      </c>
    </row>
    <row r="87" spans="1:7">
      <c r="A87" t="s">
        <v>394</v>
      </c>
      <c r="B87" s="1">
        <v>45554</v>
      </c>
      <c r="C87" t="s">
        <v>169</v>
      </c>
      <c r="D87" t="s">
        <v>398</v>
      </c>
      <c r="E87" t="s">
        <v>616</v>
      </c>
      <c r="F87" t="s">
        <v>397</v>
      </c>
      <c r="G87" t="s">
        <v>31</v>
      </c>
    </row>
    <row r="88" spans="1:7">
      <c r="A88" t="s">
        <v>378</v>
      </c>
      <c r="B88" s="1">
        <v>45386</v>
      </c>
      <c r="C88" t="s">
        <v>37</v>
      </c>
      <c r="D88" t="s">
        <v>380</v>
      </c>
      <c r="E88" t="s">
        <v>617</v>
      </c>
      <c r="F88" t="s">
        <v>266</v>
      </c>
      <c r="G88" t="s">
        <v>31</v>
      </c>
    </row>
    <row r="89" spans="1:7">
      <c r="A89" t="s">
        <v>406</v>
      </c>
      <c r="B89" s="1">
        <v>45372</v>
      </c>
      <c r="C89" t="s">
        <v>407</v>
      </c>
      <c r="D89" t="s">
        <v>408</v>
      </c>
      <c r="E89" t="s">
        <v>618</v>
      </c>
      <c r="F89" t="s">
        <v>247</v>
      </c>
      <c r="G89" t="s">
        <v>31</v>
      </c>
    </row>
    <row r="90" spans="1:7">
      <c r="A90" t="s">
        <v>413</v>
      </c>
      <c r="B90" s="1">
        <v>45372</v>
      </c>
      <c r="C90" t="s">
        <v>414</v>
      </c>
      <c r="D90" t="s">
        <v>416</v>
      </c>
      <c r="E90" t="s">
        <v>618</v>
      </c>
      <c r="F90" t="s">
        <v>247</v>
      </c>
      <c r="G90" t="s">
        <v>31</v>
      </c>
    </row>
    <row r="91" spans="1:7">
      <c r="A91" t="s">
        <v>435</v>
      </c>
      <c r="B91" s="1">
        <v>45688</v>
      </c>
      <c r="C91" t="s">
        <v>436</v>
      </c>
      <c r="D91" t="s">
        <v>439</v>
      </c>
      <c r="E91" t="s">
        <v>619</v>
      </c>
      <c r="F91" t="s">
        <v>438</v>
      </c>
      <c r="G91" t="s">
        <v>31</v>
      </c>
    </row>
    <row r="92" spans="1:7">
      <c r="A92" t="s">
        <v>312</v>
      </c>
      <c r="B92" s="1">
        <v>45008</v>
      </c>
      <c r="C92" t="s">
        <v>21</v>
      </c>
      <c r="D92" t="s">
        <v>314</v>
      </c>
      <c r="E92" t="s">
        <v>154</v>
      </c>
      <c r="G92" t="s">
        <v>31</v>
      </c>
    </row>
    <row r="93" spans="1:7">
      <c r="A93" t="s">
        <v>420</v>
      </c>
      <c r="B93" s="1">
        <v>45401</v>
      </c>
      <c r="C93" t="s">
        <v>207</v>
      </c>
      <c r="D93" t="s">
        <v>423</v>
      </c>
      <c r="E93" t="s">
        <v>154</v>
      </c>
      <c r="F93" t="s">
        <v>266</v>
      </c>
      <c r="G93" t="s">
        <v>31</v>
      </c>
    </row>
    <row r="94" spans="1:7">
      <c r="A94" t="s">
        <v>152</v>
      </c>
      <c r="B94" s="1">
        <v>44582</v>
      </c>
      <c r="C94" t="s">
        <v>620</v>
      </c>
      <c r="E94" t="s">
        <v>154</v>
      </c>
      <c r="G94" t="s">
        <v>18</v>
      </c>
    </row>
    <row r="95" spans="1:7">
      <c r="A95" t="s">
        <v>156</v>
      </c>
      <c r="B95" s="1">
        <v>44582</v>
      </c>
      <c r="C95" t="s">
        <v>621</v>
      </c>
      <c r="E95" t="s">
        <v>154</v>
      </c>
      <c r="G95" t="s">
        <v>18</v>
      </c>
    </row>
    <row r="96" spans="1:7">
      <c r="A96" t="s">
        <v>168</v>
      </c>
      <c r="B96" s="1">
        <v>45344</v>
      </c>
      <c r="C96" t="s">
        <v>169</v>
      </c>
      <c r="D96" t="s">
        <v>171</v>
      </c>
      <c r="E96" t="s">
        <v>154</v>
      </c>
      <c r="F96" t="s">
        <v>622</v>
      </c>
      <c r="G96" t="s">
        <v>25</v>
      </c>
    </row>
    <row r="97" spans="1:7">
      <c r="A97" t="s">
        <v>172</v>
      </c>
      <c r="B97" s="1">
        <v>45492</v>
      </c>
      <c r="C97" t="s">
        <v>169</v>
      </c>
      <c r="D97" t="s">
        <v>174</v>
      </c>
      <c r="E97" t="s">
        <v>154</v>
      </c>
      <c r="F97" t="s">
        <v>247</v>
      </c>
      <c r="G97" t="s">
        <v>31</v>
      </c>
    </row>
    <row r="98" spans="1:7">
      <c r="A98" t="s">
        <v>361</v>
      </c>
      <c r="B98" s="1">
        <v>45100</v>
      </c>
      <c r="C98" t="s">
        <v>257</v>
      </c>
      <c r="D98" t="s">
        <v>362</v>
      </c>
      <c r="E98" t="s">
        <v>88</v>
      </c>
      <c r="G98" t="s">
        <v>197</v>
      </c>
    </row>
    <row r="99" spans="1:7">
      <c r="A99" t="s">
        <v>86</v>
      </c>
      <c r="B99" s="1">
        <v>44602</v>
      </c>
      <c r="C99" t="s">
        <v>623</v>
      </c>
      <c r="E99" t="s">
        <v>88</v>
      </c>
      <c r="G99" t="s">
        <v>85</v>
      </c>
    </row>
    <row r="100" spans="1:7">
      <c r="A100" t="s">
        <v>91</v>
      </c>
      <c r="B100" s="1">
        <v>44602</v>
      </c>
      <c r="C100" t="s">
        <v>62</v>
      </c>
      <c r="E100" t="s">
        <v>88</v>
      </c>
      <c r="G100" t="s">
        <v>85</v>
      </c>
    </row>
    <row r="101" spans="1:7">
      <c r="A101" t="s">
        <v>133</v>
      </c>
      <c r="B101" s="1">
        <v>44859</v>
      </c>
      <c r="C101" t="s">
        <v>131</v>
      </c>
      <c r="E101" t="s">
        <v>88</v>
      </c>
      <c r="G101" t="s">
        <v>18</v>
      </c>
    </row>
    <row r="102" spans="1:7">
      <c r="A102" t="s">
        <v>244</v>
      </c>
      <c r="B102" s="1">
        <v>45611</v>
      </c>
      <c r="C102" t="s">
        <v>245</v>
      </c>
      <c r="D102" t="s">
        <v>178</v>
      </c>
      <c r="E102" t="s">
        <v>246</v>
      </c>
      <c r="F102" t="s">
        <v>247</v>
      </c>
      <c r="G102" t="s">
        <v>248</v>
      </c>
    </row>
    <row r="103" spans="1:7">
      <c r="A103" t="s">
        <v>36</v>
      </c>
      <c r="B103" s="1">
        <v>45401</v>
      </c>
      <c r="C103" t="s">
        <v>37</v>
      </c>
      <c r="D103" t="s">
        <v>41</v>
      </c>
      <c r="E103" t="s">
        <v>624</v>
      </c>
      <c r="F103" t="s">
        <v>625</v>
      </c>
      <c r="G103" t="s">
        <v>31</v>
      </c>
    </row>
    <row r="104" spans="1:7">
      <c r="A104" t="s">
        <v>42</v>
      </c>
      <c r="B104" s="1">
        <v>45401</v>
      </c>
      <c r="C104" t="s">
        <v>43</v>
      </c>
      <c r="D104" t="s">
        <v>46</v>
      </c>
      <c r="E104" t="s">
        <v>624</v>
      </c>
      <c r="F104" t="s">
        <v>626</v>
      </c>
      <c r="G104" t="s">
        <v>31</v>
      </c>
    </row>
    <row r="105" spans="1:7">
      <c r="A105" t="s">
        <v>47</v>
      </c>
      <c r="B105" s="1">
        <v>45401</v>
      </c>
      <c r="C105" t="s">
        <v>48</v>
      </c>
      <c r="D105" t="s">
        <v>41</v>
      </c>
      <c r="E105" t="s">
        <v>624</v>
      </c>
      <c r="F105" t="s">
        <v>627</v>
      </c>
      <c r="G105" t="s">
        <v>31</v>
      </c>
    </row>
    <row r="106" spans="1:7">
      <c r="A106" t="s">
        <v>96</v>
      </c>
      <c r="B106" s="1">
        <v>44721</v>
      </c>
      <c r="C106" t="s">
        <v>62</v>
      </c>
      <c r="E106" t="s">
        <v>97</v>
      </c>
      <c r="G106" t="s">
        <v>18</v>
      </c>
    </row>
    <row r="107" spans="1:7">
      <c r="A107" t="s">
        <v>364</v>
      </c>
      <c r="B107" s="1">
        <v>45688</v>
      </c>
      <c r="C107" t="s">
        <v>281</v>
      </c>
      <c r="D107" t="s">
        <v>367</v>
      </c>
      <c r="E107" t="s">
        <v>322</v>
      </c>
      <c r="F107" t="s">
        <v>366</v>
      </c>
      <c r="G107" t="s">
        <v>31</v>
      </c>
    </row>
    <row r="108" spans="1:7">
      <c r="A108" t="s">
        <v>100</v>
      </c>
      <c r="B108" s="1">
        <v>44721</v>
      </c>
      <c r="C108" t="s">
        <v>82</v>
      </c>
      <c r="E108" t="s">
        <v>628</v>
      </c>
      <c r="G108" t="s">
        <v>18</v>
      </c>
    </row>
    <row r="109" spans="1:7">
      <c r="A109" t="s">
        <v>324</v>
      </c>
      <c r="B109" s="1">
        <v>45401</v>
      </c>
      <c r="C109" t="s">
        <v>325</v>
      </c>
      <c r="D109" t="s">
        <v>328</v>
      </c>
      <c r="E109" t="s">
        <v>525</v>
      </c>
      <c r="F109" t="s">
        <v>327</v>
      </c>
      <c r="G109" t="s">
        <v>31</v>
      </c>
    </row>
    <row r="110" spans="1:7">
      <c r="A110" t="s">
        <v>417</v>
      </c>
      <c r="B110" s="1">
        <v>45401</v>
      </c>
      <c r="C110" t="s">
        <v>169</v>
      </c>
      <c r="D110" t="s">
        <v>419</v>
      </c>
      <c r="E110" t="s">
        <v>418</v>
      </c>
      <c r="F110" t="s">
        <v>266</v>
      </c>
      <c r="G110" t="s">
        <v>31</v>
      </c>
    </row>
    <row r="111" spans="1:7">
      <c r="A111" t="s">
        <v>109</v>
      </c>
      <c r="B111" s="1">
        <v>44882</v>
      </c>
      <c r="C111" t="s">
        <v>110</v>
      </c>
      <c r="D111" t="s">
        <v>113</v>
      </c>
      <c r="E111" t="s">
        <v>111</v>
      </c>
      <c r="G111" t="s">
        <v>18</v>
      </c>
    </row>
    <row r="112" spans="1:7">
      <c r="A112" t="s">
        <v>114</v>
      </c>
      <c r="B112" s="1">
        <v>44931</v>
      </c>
      <c r="C112" t="s">
        <v>43</v>
      </c>
      <c r="D112" t="s">
        <v>117</v>
      </c>
      <c r="E112" t="s">
        <v>111</v>
      </c>
      <c r="G112" t="s">
        <v>18</v>
      </c>
    </row>
  </sheetData>
  <sortState xmlns:xlrd2="http://schemas.microsoft.com/office/spreadsheetml/2017/richdata2" ref="A2:G112">
    <sortCondition descending="1" ref="E1:E11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90798-CD71-5149-9798-D3C73EC8CAE9}">
  <dimension ref="A2:G25"/>
  <sheetViews>
    <sheetView workbookViewId="0">
      <selection activeCell="B10" sqref="B10"/>
    </sheetView>
  </sheetViews>
  <sheetFormatPr defaultColWidth="11" defaultRowHeight="15.95"/>
  <cols>
    <col min="1" max="1" width="22.5" customWidth="1"/>
    <col min="3" max="3" width="25.625" customWidth="1"/>
    <col min="4" max="4" width="103.625" customWidth="1"/>
    <col min="5" max="5" width="50.5" customWidth="1"/>
    <col min="6" max="6" width="29.5" customWidth="1"/>
    <col min="7" max="7" width="29" customWidth="1"/>
  </cols>
  <sheetData>
    <row r="2" spans="1:7">
      <c r="A2" s="21" t="s">
        <v>538</v>
      </c>
    </row>
    <row r="6" spans="1:7" s="16" customFormat="1">
      <c r="A6" s="16" t="s">
        <v>56</v>
      </c>
      <c r="B6" s="17">
        <v>45674</v>
      </c>
      <c r="C6" s="16" t="s">
        <v>57</v>
      </c>
      <c r="D6" s="16" t="s">
        <v>54</v>
      </c>
      <c r="E6" s="16" t="s">
        <v>580</v>
      </c>
      <c r="F6" s="16" t="s">
        <v>581</v>
      </c>
      <c r="G6" s="16" t="s">
        <v>55</v>
      </c>
    </row>
    <row r="7" spans="1:7" s="6" customFormat="1">
      <c r="A7" s="6" t="s">
        <v>368</v>
      </c>
      <c r="B7" s="7">
        <v>45169</v>
      </c>
      <c r="C7" s="6" t="s">
        <v>369</v>
      </c>
      <c r="D7" s="6" t="s">
        <v>373</v>
      </c>
      <c r="E7" s="6" t="s">
        <v>568</v>
      </c>
      <c r="F7" s="6" t="s">
        <v>372</v>
      </c>
      <c r="G7" s="6" t="s">
        <v>151</v>
      </c>
    </row>
    <row r="8" spans="1:7" s="6" customFormat="1">
      <c r="A8" s="6" t="s">
        <v>381</v>
      </c>
      <c r="B8" s="7">
        <v>45428</v>
      </c>
      <c r="C8" s="6" t="s">
        <v>404</v>
      </c>
      <c r="D8" s="6" t="s">
        <v>384</v>
      </c>
      <c r="E8" s="6" t="s">
        <v>561</v>
      </c>
      <c r="F8" s="6" t="s">
        <v>562</v>
      </c>
      <c r="G8" s="6" t="s">
        <v>31</v>
      </c>
    </row>
    <row r="9" spans="1:7" s="6" customFormat="1">
      <c r="A9" s="6" t="s">
        <v>385</v>
      </c>
      <c r="B9" s="7">
        <v>45428</v>
      </c>
      <c r="C9" s="6" t="s">
        <v>386</v>
      </c>
      <c r="D9" s="6" t="s">
        <v>387</v>
      </c>
      <c r="E9" s="6" t="s">
        <v>558</v>
      </c>
      <c r="F9" s="6" t="s">
        <v>266</v>
      </c>
      <c r="G9" s="6" t="s">
        <v>31</v>
      </c>
    </row>
    <row r="10" spans="1:7" s="8" customFormat="1">
      <c r="A10" s="8" t="s">
        <v>461</v>
      </c>
      <c r="B10" s="9">
        <v>45688</v>
      </c>
      <c r="C10" s="8" t="s">
        <v>462</v>
      </c>
      <c r="D10" s="8" t="s">
        <v>465</v>
      </c>
      <c r="E10" s="8" t="s">
        <v>559</v>
      </c>
      <c r="F10" s="8" t="s">
        <v>560</v>
      </c>
      <c r="G10" s="8" t="s">
        <v>31</v>
      </c>
    </row>
    <row r="11" spans="1:7" s="8" customFormat="1">
      <c r="A11" s="8" t="s">
        <v>466</v>
      </c>
      <c r="B11" s="9">
        <v>45688</v>
      </c>
      <c r="C11" s="8" t="s">
        <v>169</v>
      </c>
      <c r="D11" s="8" t="s">
        <v>469</v>
      </c>
      <c r="E11" s="8" t="s">
        <v>559</v>
      </c>
      <c r="F11" s="8" t="s">
        <v>468</v>
      </c>
      <c r="G11" s="8" t="s">
        <v>31</v>
      </c>
    </row>
    <row r="12" spans="1:7" s="10" customFormat="1">
      <c r="A12" s="10" t="s">
        <v>61</v>
      </c>
      <c r="B12" s="11">
        <v>44546</v>
      </c>
      <c r="C12" s="10" t="s">
        <v>62</v>
      </c>
      <c r="D12" s="10" t="s">
        <v>66</v>
      </c>
      <c r="E12" s="10" t="s">
        <v>63</v>
      </c>
      <c r="G12" s="10" t="s">
        <v>18</v>
      </c>
    </row>
    <row r="13" spans="1:7" s="10" customFormat="1">
      <c r="A13" s="10" t="s">
        <v>67</v>
      </c>
      <c r="B13" s="11">
        <v>44546</v>
      </c>
      <c r="C13" s="10" t="s">
        <v>68</v>
      </c>
      <c r="D13" s="10" t="s">
        <v>71</v>
      </c>
      <c r="E13" s="10" t="s">
        <v>569</v>
      </c>
      <c r="G13" s="10" t="s">
        <v>18</v>
      </c>
    </row>
    <row r="14" spans="1:7" s="12" customFormat="1">
      <c r="A14" s="12" t="s">
        <v>206</v>
      </c>
      <c r="B14" s="13">
        <v>44651</v>
      </c>
      <c r="C14" s="12" t="s">
        <v>563</v>
      </c>
      <c r="D14" s="12" t="s">
        <v>211</v>
      </c>
      <c r="E14" s="12" t="s">
        <v>564</v>
      </c>
      <c r="G14" s="12" t="s">
        <v>18</v>
      </c>
    </row>
    <row r="15" spans="1:7" s="14" customFormat="1">
      <c r="A15" s="14" t="s">
        <v>215</v>
      </c>
      <c r="B15" s="15">
        <v>44713</v>
      </c>
      <c r="C15" s="14" t="s">
        <v>169</v>
      </c>
      <c r="D15" s="14" t="s">
        <v>218</v>
      </c>
      <c r="E15" s="14" t="s">
        <v>567</v>
      </c>
      <c r="G15" s="14" t="s">
        <v>18</v>
      </c>
    </row>
    <row r="16" spans="1:7" s="14" customFormat="1">
      <c r="A16" s="14" t="s">
        <v>224</v>
      </c>
      <c r="B16" s="15">
        <v>44714</v>
      </c>
      <c r="C16" s="14" t="s">
        <v>225</v>
      </c>
      <c r="D16" s="14" t="s">
        <v>218</v>
      </c>
      <c r="E16" s="14" t="s">
        <v>565</v>
      </c>
      <c r="F16" s="14" t="s">
        <v>566</v>
      </c>
      <c r="G16" s="14" t="s">
        <v>18</v>
      </c>
    </row>
    <row r="17" spans="1:7" s="14" customFormat="1">
      <c r="A17" s="14" t="s">
        <v>227</v>
      </c>
      <c r="B17" s="15">
        <v>44714</v>
      </c>
      <c r="C17" s="14" t="s">
        <v>228</v>
      </c>
      <c r="D17" s="14" t="s">
        <v>218</v>
      </c>
      <c r="E17" s="14" t="s">
        <v>570</v>
      </c>
      <c r="F17" s="14" t="s">
        <v>327</v>
      </c>
      <c r="G17" s="14" t="s">
        <v>18</v>
      </c>
    </row>
    <row r="18" spans="1:7">
      <c r="C18" s="19" t="s">
        <v>629</v>
      </c>
      <c r="D18" s="19" t="s">
        <v>630</v>
      </c>
    </row>
    <row r="19" spans="1:7">
      <c r="C19" s="18" t="s">
        <v>631</v>
      </c>
      <c r="D19" s="18" t="s">
        <v>632</v>
      </c>
    </row>
    <row r="20" spans="1:7">
      <c r="C20" s="18" t="s">
        <v>633</v>
      </c>
      <c r="D20" s="18" t="s">
        <v>634</v>
      </c>
    </row>
    <row r="21" spans="1:7">
      <c r="C21" s="18" t="s">
        <v>635</v>
      </c>
      <c r="D21" s="18" t="s">
        <v>636</v>
      </c>
    </row>
    <row r="23" spans="1:7">
      <c r="D23" s="19" t="s">
        <v>637</v>
      </c>
      <c r="E23" s="22" t="s">
        <v>638</v>
      </c>
    </row>
    <row r="24" spans="1:7">
      <c r="D24" s="20" t="s">
        <v>639</v>
      </c>
    </row>
    <row r="25" spans="1:7">
      <c r="D25" s="18" t="s">
        <v>640</v>
      </c>
    </row>
  </sheetData>
  <sortState xmlns:xlrd2="http://schemas.microsoft.com/office/spreadsheetml/2017/richdata2" ref="A7:G17">
    <sortCondition ref="A7:A1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3B07F-119E-E843-B1E3-54F8543D8C9C}">
  <dimension ref="A1:N28"/>
  <sheetViews>
    <sheetView workbookViewId="0"/>
  </sheetViews>
  <sheetFormatPr defaultColWidth="11" defaultRowHeight="15.95"/>
  <sheetData>
    <row r="1" spans="1:14">
      <c r="B1" s="2" t="s">
        <v>523</v>
      </c>
      <c r="C1" s="2" t="s">
        <v>524</v>
      </c>
      <c r="D1" s="2" t="s">
        <v>641</v>
      </c>
      <c r="E1" s="2" t="s">
        <v>525</v>
      </c>
      <c r="F1" s="2" t="s">
        <v>526</v>
      </c>
      <c r="G1" s="2" t="s">
        <v>527</v>
      </c>
      <c r="H1" s="2" t="s">
        <v>528</v>
      </c>
      <c r="I1" s="2" t="s">
        <v>529</v>
      </c>
      <c r="J1" s="2" t="s">
        <v>642</v>
      </c>
      <c r="K1" s="2" t="s">
        <v>531</v>
      </c>
      <c r="L1" s="2" t="s">
        <v>532</v>
      </c>
      <c r="M1" s="2" t="s">
        <v>533</v>
      </c>
      <c r="N1" s="2" t="s">
        <v>534</v>
      </c>
    </row>
    <row r="2" spans="1:14">
      <c r="A2">
        <v>12</v>
      </c>
      <c r="B2" t="s">
        <v>13</v>
      </c>
      <c r="C2" t="s">
        <v>535</v>
      </c>
      <c r="D2" t="s">
        <v>13</v>
      </c>
      <c r="E2" t="s">
        <v>13</v>
      </c>
      <c r="F2" t="s">
        <v>535</v>
      </c>
      <c r="G2" t="s">
        <v>535</v>
      </c>
      <c r="H2" t="s">
        <v>535</v>
      </c>
      <c r="I2" t="s">
        <v>535</v>
      </c>
      <c r="J2" t="s">
        <v>535</v>
      </c>
      <c r="K2" t="s">
        <v>535</v>
      </c>
      <c r="L2" t="s">
        <v>535</v>
      </c>
      <c r="M2" t="s">
        <v>535</v>
      </c>
      <c r="N2" t="s">
        <v>535</v>
      </c>
    </row>
    <row r="3" spans="1:14">
      <c r="A3">
        <v>11</v>
      </c>
      <c r="B3" t="s">
        <v>13</v>
      </c>
      <c r="C3" t="s">
        <v>535</v>
      </c>
      <c r="D3" t="s">
        <v>13</v>
      </c>
      <c r="E3" t="s">
        <v>535</v>
      </c>
      <c r="F3" t="s">
        <v>535</v>
      </c>
      <c r="G3" t="s">
        <v>535</v>
      </c>
      <c r="H3" t="s">
        <v>535</v>
      </c>
      <c r="I3" t="s">
        <v>535</v>
      </c>
      <c r="J3" t="s">
        <v>535</v>
      </c>
      <c r="K3" t="s">
        <v>535</v>
      </c>
      <c r="L3" t="s">
        <v>535</v>
      </c>
      <c r="M3" t="s">
        <v>535</v>
      </c>
      <c r="N3" t="s">
        <v>535</v>
      </c>
    </row>
    <row r="4" spans="1:14">
      <c r="A4">
        <v>14</v>
      </c>
      <c r="B4" t="s">
        <v>13</v>
      </c>
      <c r="C4" t="s">
        <v>535</v>
      </c>
      <c r="D4" t="s">
        <v>13</v>
      </c>
      <c r="E4" t="s">
        <v>535</v>
      </c>
      <c r="F4" t="s">
        <v>535</v>
      </c>
      <c r="G4" t="s">
        <v>535</v>
      </c>
      <c r="H4" t="s">
        <v>535</v>
      </c>
      <c r="I4" t="s">
        <v>535</v>
      </c>
      <c r="J4" t="s">
        <v>535</v>
      </c>
      <c r="K4" t="s">
        <v>535</v>
      </c>
      <c r="L4" t="s">
        <v>535</v>
      </c>
      <c r="M4" t="s">
        <v>535</v>
      </c>
      <c r="N4" t="s">
        <v>535</v>
      </c>
    </row>
    <row r="5" spans="1:14">
      <c r="A5">
        <v>21</v>
      </c>
      <c r="B5" t="s">
        <v>13</v>
      </c>
      <c r="C5" t="s">
        <v>535</v>
      </c>
      <c r="D5" t="s">
        <v>13</v>
      </c>
      <c r="E5" t="s">
        <v>535</v>
      </c>
      <c r="F5" t="s">
        <v>535</v>
      </c>
      <c r="G5" t="s">
        <v>535</v>
      </c>
      <c r="H5" t="s">
        <v>535</v>
      </c>
      <c r="I5" t="s">
        <v>535</v>
      </c>
      <c r="J5" t="s">
        <v>535</v>
      </c>
      <c r="K5" t="s">
        <v>535</v>
      </c>
      <c r="L5" t="s">
        <v>535</v>
      </c>
      <c r="M5" t="s">
        <v>535</v>
      </c>
      <c r="N5" t="s">
        <v>535</v>
      </c>
    </row>
    <row r="6" spans="1:14">
      <c r="A6">
        <v>15</v>
      </c>
      <c r="B6" t="s">
        <v>535</v>
      </c>
      <c r="C6" t="s">
        <v>535</v>
      </c>
      <c r="D6" t="s">
        <v>13</v>
      </c>
      <c r="E6" t="s">
        <v>535</v>
      </c>
      <c r="F6" t="s">
        <v>535</v>
      </c>
      <c r="G6" t="s">
        <v>535</v>
      </c>
      <c r="H6" t="s">
        <v>535</v>
      </c>
      <c r="I6" t="s">
        <v>535</v>
      </c>
      <c r="J6" t="s">
        <v>535</v>
      </c>
      <c r="K6" t="s">
        <v>535</v>
      </c>
      <c r="L6" t="s">
        <v>535</v>
      </c>
      <c r="M6" t="s">
        <v>535</v>
      </c>
      <c r="N6" t="s">
        <v>535</v>
      </c>
    </row>
    <row r="7" spans="1:14">
      <c r="A7">
        <v>17</v>
      </c>
      <c r="B7" t="s">
        <v>13</v>
      </c>
      <c r="C7" t="s">
        <v>535</v>
      </c>
      <c r="D7" t="s">
        <v>643</v>
      </c>
      <c r="E7" t="s">
        <v>535</v>
      </c>
      <c r="F7" t="s">
        <v>13</v>
      </c>
      <c r="G7" t="s">
        <v>13</v>
      </c>
      <c r="H7" t="s">
        <v>13</v>
      </c>
      <c r="I7" t="s">
        <v>13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</row>
    <row r="8" spans="1:14">
      <c r="A8">
        <v>2</v>
      </c>
      <c r="B8" t="s">
        <v>13</v>
      </c>
      <c r="C8" t="s">
        <v>13</v>
      </c>
      <c r="D8" t="s">
        <v>535</v>
      </c>
      <c r="E8" t="s">
        <v>13</v>
      </c>
      <c r="F8" t="s">
        <v>535</v>
      </c>
      <c r="G8" t="s">
        <v>535</v>
      </c>
      <c r="H8" t="s">
        <v>13</v>
      </c>
      <c r="I8" t="s">
        <v>13</v>
      </c>
      <c r="J8" t="s">
        <v>13</v>
      </c>
      <c r="K8" t="s">
        <v>535</v>
      </c>
      <c r="L8" t="s">
        <v>535</v>
      </c>
      <c r="M8" t="s">
        <v>535</v>
      </c>
      <c r="N8" t="s">
        <v>535</v>
      </c>
    </row>
    <row r="9" spans="1:14">
      <c r="A9">
        <v>1</v>
      </c>
      <c r="B9" t="s">
        <v>13</v>
      </c>
      <c r="C9" t="s">
        <v>13</v>
      </c>
      <c r="D9" t="s">
        <v>535</v>
      </c>
      <c r="E9" t="s">
        <v>535</v>
      </c>
      <c r="F9" t="s">
        <v>535</v>
      </c>
      <c r="G9" t="s">
        <v>535</v>
      </c>
      <c r="H9" t="s">
        <v>13</v>
      </c>
      <c r="I9" t="s">
        <v>535</v>
      </c>
      <c r="J9" t="s">
        <v>535</v>
      </c>
      <c r="K9" t="s">
        <v>13</v>
      </c>
      <c r="L9" t="s">
        <v>535</v>
      </c>
      <c r="M9" t="s">
        <v>535</v>
      </c>
      <c r="N9" t="s">
        <v>535</v>
      </c>
    </row>
    <row r="10" spans="1:14">
      <c r="A10">
        <v>7</v>
      </c>
      <c r="B10" t="s">
        <v>13</v>
      </c>
      <c r="C10" t="s">
        <v>13</v>
      </c>
      <c r="D10" t="s">
        <v>535</v>
      </c>
      <c r="E10" t="s">
        <v>535</v>
      </c>
      <c r="F10" t="s">
        <v>535</v>
      </c>
      <c r="G10" t="s">
        <v>535</v>
      </c>
      <c r="H10" t="s">
        <v>535</v>
      </c>
      <c r="I10" t="s">
        <v>535</v>
      </c>
      <c r="J10" t="s">
        <v>535</v>
      </c>
      <c r="K10" t="s">
        <v>535</v>
      </c>
      <c r="L10" t="s">
        <v>535</v>
      </c>
      <c r="M10" t="s">
        <v>13</v>
      </c>
      <c r="N10" t="s">
        <v>535</v>
      </c>
    </row>
    <row r="11" spans="1:14">
      <c r="A11">
        <v>16</v>
      </c>
      <c r="B11" t="s">
        <v>13</v>
      </c>
      <c r="C11" t="s">
        <v>13</v>
      </c>
      <c r="D11" t="s">
        <v>535</v>
      </c>
      <c r="E11" t="s">
        <v>535</v>
      </c>
      <c r="F11" t="s">
        <v>535</v>
      </c>
      <c r="G11" t="s">
        <v>535</v>
      </c>
      <c r="H11" t="s">
        <v>535</v>
      </c>
      <c r="I11" t="s">
        <v>535</v>
      </c>
      <c r="J11" t="s">
        <v>535</v>
      </c>
      <c r="K11" t="s">
        <v>535</v>
      </c>
      <c r="L11" t="s">
        <v>535</v>
      </c>
      <c r="M11" t="s">
        <v>535</v>
      </c>
      <c r="N11" t="s">
        <v>535</v>
      </c>
    </row>
    <row r="12" spans="1:14">
      <c r="A12">
        <v>20</v>
      </c>
      <c r="B12" t="s">
        <v>13</v>
      </c>
      <c r="C12" t="s">
        <v>13</v>
      </c>
      <c r="D12" t="s">
        <v>535</v>
      </c>
      <c r="E12" t="s">
        <v>535</v>
      </c>
      <c r="F12" t="s">
        <v>535</v>
      </c>
      <c r="G12" t="s">
        <v>535</v>
      </c>
      <c r="H12" t="s">
        <v>535</v>
      </c>
      <c r="I12" t="s">
        <v>535</v>
      </c>
      <c r="J12" t="s">
        <v>535</v>
      </c>
      <c r="K12" t="s">
        <v>535</v>
      </c>
      <c r="L12" t="s">
        <v>535</v>
      </c>
      <c r="M12" t="s">
        <v>535</v>
      </c>
      <c r="N12" t="s">
        <v>535</v>
      </c>
    </row>
    <row r="13" spans="1:14">
      <c r="A13">
        <v>6</v>
      </c>
      <c r="B13" t="s">
        <v>535</v>
      </c>
      <c r="C13" t="s">
        <v>13</v>
      </c>
      <c r="D13" t="s">
        <v>535</v>
      </c>
      <c r="E13" t="s">
        <v>535</v>
      </c>
      <c r="F13" t="s">
        <v>535</v>
      </c>
      <c r="G13" t="s">
        <v>535</v>
      </c>
      <c r="H13" t="s">
        <v>13</v>
      </c>
      <c r="I13" t="s">
        <v>535</v>
      </c>
      <c r="J13" t="s">
        <v>535</v>
      </c>
      <c r="K13" t="s">
        <v>535</v>
      </c>
      <c r="L13" t="s">
        <v>13</v>
      </c>
      <c r="M13" t="s">
        <v>535</v>
      </c>
      <c r="N13" t="s">
        <v>535</v>
      </c>
    </row>
    <row r="14" spans="1:14">
      <c r="A14">
        <v>18</v>
      </c>
      <c r="B14" t="s">
        <v>13</v>
      </c>
      <c r="C14" t="s">
        <v>535</v>
      </c>
      <c r="D14" t="s">
        <v>535</v>
      </c>
      <c r="E14" t="s">
        <v>535</v>
      </c>
      <c r="F14" t="s">
        <v>535</v>
      </c>
      <c r="G14" t="s">
        <v>535</v>
      </c>
      <c r="H14" t="s">
        <v>535</v>
      </c>
      <c r="I14" t="s">
        <v>535</v>
      </c>
      <c r="J14" t="s">
        <v>13</v>
      </c>
      <c r="K14" t="s">
        <v>535</v>
      </c>
      <c r="L14" t="s">
        <v>535</v>
      </c>
      <c r="M14" t="s">
        <v>535</v>
      </c>
      <c r="N14" t="s">
        <v>13</v>
      </c>
    </row>
    <row r="15" spans="1:14">
      <c r="A15">
        <v>3</v>
      </c>
      <c r="B15" t="s">
        <v>13</v>
      </c>
      <c r="C15" t="s">
        <v>535</v>
      </c>
      <c r="D15" t="s">
        <v>535</v>
      </c>
      <c r="E15" t="s">
        <v>535</v>
      </c>
      <c r="F15" t="s">
        <v>535</v>
      </c>
      <c r="G15" t="s">
        <v>535</v>
      </c>
      <c r="H15" t="s">
        <v>535</v>
      </c>
      <c r="I15" t="s">
        <v>13</v>
      </c>
      <c r="J15" t="s">
        <v>535</v>
      </c>
      <c r="K15" t="s">
        <v>535</v>
      </c>
      <c r="L15" t="s">
        <v>535</v>
      </c>
      <c r="M15" t="s">
        <v>535</v>
      </c>
      <c r="N15" t="s">
        <v>535</v>
      </c>
    </row>
    <row r="16" spans="1:14">
      <c r="A16">
        <v>8</v>
      </c>
      <c r="B16" t="s">
        <v>13</v>
      </c>
      <c r="C16" t="s">
        <v>535</v>
      </c>
      <c r="D16" t="s">
        <v>535</v>
      </c>
      <c r="E16" t="s">
        <v>535</v>
      </c>
      <c r="F16" t="s">
        <v>13</v>
      </c>
      <c r="G16" t="s">
        <v>535</v>
      </c>
      <c r="H16" t="s">
        <v>535</v>
      </c>
      <c r="I16" t="s">
        <v>535</v>
      </c>
      <c r="J16" t="s">
        <v>535</v>
      </c>
      <c r="K16" t="s">
        <v>535</v>
      </c>
      <c r="L16" t="s">
        <v>535</v>
      </c>
      <c r="M16" t="s">
        <v>535</v>
      </c>
      <c r="N16" t="s">
        <v>535</v>
      </c>
    </row>
    <row r="17" spans="1:14">
      <c r="A17">
        <v>4</v>
      </c>
      <c r="B17" t="s">
        <v>13</v>
      </c>
      <c r="C17" t="s">
        <v>535</v>
      </c>
      <c r="D17" t="s">
        <v>535</v>
      </c>
      <c r="E17" t="s">
        <v>535</v>
      </c>
      <c r="F17" t="s">
        <v>535</v>
      </c>
      <c r="G17" t="s">
        <v>535</v>
      </c>
      <c r="H17" t="s">
        <v>535</v>
      </c>
      <c r="I17" t="s">
        <v>535</v>
      </c>
      <c r="J17" t="s">
        <v>535</v>
      </c>
      <c r="K17" t="s">
        <v>535</v>
      </c>
      <c r="L17" t="s">
        <v>535</v>
      </c>
      <c r="M17" t="s">
        <v>535</v>
      </c>
      <c r="N17" t="s">
        <v>535</v>
      </c>
    </row>
    <row r="18" spans="1:14">
      <c r="A18">
        <v>5</v>
      </c>
      <c r="B18" t="s">
        <v>13</v>
      </c>
      <c r="C18" t="s">
        <v>535</v>
      </c>
      <c r="D18" t="s">
        <v>535</v>
      </c>
      <c r="E18" t="s">
        <v>535</v>
      </c>
      <c r="F18" t="s">
        <v>535</v>
      </c>
      <c r="G18" t="s">
        <v>535</v>
      </c>
      <c r="H18" t="s">
        <v>535</v>
      </c>
      <c r="I18" t="s">
        <v>535</v>
      </c>
      <c r="J18" t="s">
        <v>535</v>
      </c>
      <c r="K18" t="s">
        <v>535</v>
      </c>
      <c r="L18" t="s">
        <v>535</v>
      </c>
      <c r="M18" t="s">
        <v>535</v>
      </c>
      <c r="N18" t="s">
        <v>535</v>
      </c>
    </row>
    <row r="19" spans="1:14">
      <c r="A19">
        <v>9</v>
      </c>
      <c r="B19" t="s">
        <v>13</v>
      </c>
      <c r="C19" t="s">
        <v>535</v>
      </c>
      <c r="D19" t="s">
        <v>535</v>
      </c>
      <c r="E19" t="s">
        <v>535</v>
      </c>
      <c r="F19" t="s">
        <v>535</v>
      </c>
      <c r="G19" t="s">
        <v>535</v>
      </c>
      <c r="H19" t="s">
        <v>535</v>
      </c>
      <c r="I19" t="s">
        <v>535</v>
      </c>
      <c r="J19" t="s">
        <v>535</v>
      </c>
      <c r="K19" t="s">
        <v>535</v>
      </c>
      <c r="L19" t="s">
        <v>535</v>
      </c>
      <c r="M19" t="s">
        <v>535</v>
      </c>
      <c r="N19" t="s">
        <v>535</v>
      </c>
    </row>
    <row r="20" spans="1:14">
      <c r="A20">
        <v>10</v>
      </c>
      <c r="B20" t="s">
        <v>13</v>
      </c>
      <c r="C20" t="s">
        <v>535</v>
      </c>
      <c r="D20" t="s">
        <v>535</v>
      </c>
      <c r="E20" t="s">
        <v>535</v>
      </c>
      <c r="F20" t="s">
        <v>535</v>
      </c>
      <c r="G20" t="s">
        <v>535</v>
      </c>
      <c r="H20" t="s">
        <v>535</v>
      </c>
      <c r="I20" t="s">
        <v>535</v>
      </c>
      <c r="J20" t="s">
        <v>535</v>
      </c>
      <c r="K20" t="s">
        <v>535</v>
      </c>
      <c r="L20" t="s">
        <v>535</v>
      </c>
      <c r="M20" t="s">
        <v>535</v>
      </c>
      <c r="N20" t="s">
        <v>535</v>
      </c>
    </row>
    <row r="21" spans="1:14">
      <c r="A21">
        <v>13</v>
      </c>
      <c r="B21" t="s">
        <v>13</v>
      </c>
      <c r="C21" t="s">
        <v>535</v>
      </c>
      <c r="D21" t="s">
        <v>535</v>
      </c>
      <c r="E21" t="s">
        <v>535</v>
      </c>
      <c r="F21" t="s">
        <v>535</v>
      </c>
      <c r="G21" t="s">
        <v>535</v>
      </c>
      <c r="H21" t="s">
        <v>535</v>
      </c>
      <c r="I21" t="s">
        <v>535</v>
      </c>
      <c r="J21" t="s">
        <v>535</v>
      </c>
      <c r="K21" t="s">
        <v>535</v>
      </c>
      <c r="L21" t="s">
        <v>535</v>
      </c>
      <c r="M21" t="s">
        <v>535</v>
      </c>
      <c r="N21" t="s">
        <v>535</v>
      </c>
    </row>
    <row r="22" spans="1:14">
      <c r="A22">
        <v>19</v>
      </c>
      <c r="B22" t="s">
        <v>13</v>
      </c>
      <c r="C22" t="s">
        <v>535</v>
      </c>
      <c r="D22" t="s">
        <v>535</v>
      </c>
      <c r="E22" t="s">
        <v>535</v>
      </c>
      <c r="F22" t="s">
        <v>535</v>
      </c>
      <c r="G22" t="s">
        <v>535</v>
      </c>
      <c r="H22" t="s">
        <v>535</v>
      </c>
      <c r="I22" t="s">
        <v>535</v>
      </c>
      <c r="J22" t="s">
        <v>535</v>
      </c>
      <c r="K22" t="s">
        <v>535</v>
      </c>
      <c r="L22" t="s">
        <v>535</v>
      </c>
      <c r="M22" t="s">
        <v>535</v>
      </c>
      <c r="N22" t="s">
        <v>535</v>
      </c>
    </row>
    <row r="23" spans="1:14">
      <c r="B23">
        <v>19</v>
      </c>
      <c r="C23">
        <v>6</v>
      </c>
      <c r="D23">
        <v>5</v>
      </c>
      <c r="E23">
        <v>2</v>
      </c>
      <c r="F23">
        <v>2</v>
      </c>
      <c r="G23">
        <v>1</v>
      </c>
      <c r="H23">
        <v>4</v>
      </c>
      <c r="I23">
        <v>3</v>
      </c>
      <c r="J23">
        <v>2</v>
      </c>
      <c r="K23">
        <v>1</v>
      </c>
      <c r="L23">
        <v>1</v>
      </c>
      <c r="M23">
        <v>1</v>
      </c>
      <c r="N23">
        <v>1</v>
      </c>
    </row>
    <row r="24" spans="1:14">
      <c r="B24" s="4">
        <v>0.9</v>
      </c>
      <c r="C24" s="4">
        <v>0.28999999999999998</v>
      </c>
      <c r="D24" s="4">
        <v>0.24</v>
      </c>
    </row>
    <row r="25" spans="1:14">
      <c r="C25" s="3"/>
    </row>
    <row r="28" spans="1:14">
      <c r="A28" t="s">
        <v>644</v>
      </c>
      <c r="D28" t="s">
        <v>645</v>
      </c>
    </row>
  </sheetData>
  <sortState xmlns:xlrd2="http://schemas.microsoft.com/office/spreadsheetml/2017/richdata2" ref="A2:N33">
    <sortCondition descending="1" ref="D1:D3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Archives xmlns:xsi="http://www.w3.org/2001/XMLSchema-instance" xmlns:xsd="http://www.w3.org/2001/XMLSchema">
  <BaseUri>https://mynotebook.labarchives.com</BaseUri>
  <eid>MTAuNHwxMDYxNzY0LzgvRW50cnlQYXJ0LzE3OTM3NDM3NTZ8MjYuNA==</eid>
  <version>1</version>
  <updated-at>2025-09-11T16:54:08Z</updated-at>
</LabArchives>
</file>

<file path=customXml/itemProps1.xml><?xml version="1.0" encoding="utf-8"?>
<ds:datastoreItem xmlns:ds="http://schemas.openxmlformats.org/officeDocument/2006/customXml" ds:itemID="{021E0262-0F75-42B2-A08A-BF24558E93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Levin, Laura E.</dc:creator>
  <cp:keywords/>
  <dc:description/>
  <cp:lastModifiedBy>Katharina Horn</cp:lastModifiedBy>
  <cp:revision/>
  <dcterms:created xsi:type="dcterms:W3CDTF">2025-04-20T21:10:49Z</dcterms:created>
  <dcterms:modified xsi:type="dcterms:W3CDTF">2025-09-15T15:38:37Z</dcterms:modified>
  <cp:category/>
  <cp:contentStatus/>
</cp:coreProperties>
</file>